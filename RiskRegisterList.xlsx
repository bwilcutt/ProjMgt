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PM\PM\"/>
    </mc:Choice>
  </mc:AlternateContent>
  <xr:revisionPtr revIDLastSave="0" documentId="13_ncr:1_{4713CBE4-8887-45C4-9ECC-32CC55778773}" xr6:coauthVersionLast="46" xr6:coauthVersionMax="46" xr10:uidLastSave="{00000000-0000-0000-0000-000000000000}"/>
  <bookViews>
    <workbookView xWindow="4005" yWindow="240" windowWidth="21600" windowHeight="11325" xr2:uid="{00000000-000D-0000-FFFF-FFFF00000000}"/>
  </bookViews>
  <sheets>
    <sheet name="Summary" sheetId="1" r:id="rId1"/>
    <sheet name="Legend" sheetId="2" r:id="rId2"/>
    <sheet name="Risk Register Tool" sheetId="3" r:id="rId3"/>
    <sheet name="Prob-Impact Matrix" sheetId="4" r:id="rId4"/>
    <sheet name="Source Data Tables" sheetId="5" r:id="rId5"/>
  </sheets>
  <definedNames>
    <definedName name="_xlnm._FilterDatabase" localSheetId="2" hidden="1">'Risk Register Tool'!$A$3:$AA$3</definedName>
    <definedName name="_xlnm.Print_Area" localSheetId="1">Legend!$A$1:$C$30</definedName>
    <definedName name="_xlnm.Print_Area" localSheetId="2">'Risk Register Tool'!$A$1:$AA$43</definedName>
    <definedName name="_xlnm.Print_Titles" localSheetId="2">'Risk Register Tool'!$1:$3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5" l="1"/>
  <c r="H16" i="5"/>
  <c r="H15" i="5"/>
  <c r="H14" i="5"/>
  <c r="H13" i="5"/>
  <c r="H9" i="5"/>
  <c r="R4" i="3" s="1"/>
  <c r="H8" i="5"/>
  <c r="H7" i="5"/>
  <c r="H6" i="5"/>
  <c r="H5" i="5"/>
  <c r="G29" i="4"/>
  <c r="F29" i="4"/>
  <c r="E29" i="4"/>
  <c r="D29" i="4"/>
  <c r="D25" i="4" s="1"/>
  <c r="C29" i="4"/>
  <c r="B28" i="4"/>
  <c r="C27" i="4"/>
  <c r="B27" i="4"/>
  <c r="F27" i="4" s="1"/>
  <c r="F26" i="4"/>
  <c r="B26" i="4"/>
  <c r="G25" i="4"/>
  <c r="B25" i="4"/>
  <c r="E24" i="4"/>
  <c r="B24" i="4"/>
  <c r="R64" i="3"/>
  <c r="P64" i="3"/>
  <c r="R63" i="3"/>
  <c r="P63" i="3"/>
  <c r="R62" i="3"/>
  <c r="P62" i="3"/>
  <c r="R61" i="3"/>
  <c r="P61" i="3"/>
  <c r="R60" i="3"/>
  <c r="P60" i="3"/>
  <c r="R59" i="3"/>
  <c r="P59" i="3"/>
  <c r="R58" i="3"/>
  <c r="P58" i="3"/>
  <c r="R57" i="3"/>
  <c r="P57" i="3"/>
  <c r="R56" i="3"/>
  <c r="P56" i="3"/>
  <c r="S56" i="3" s="1"/>
  <c r="T56" i="3" s="1"/>
  <c r="R55" i="3"/>
  <c r="P55" i="3"/>
  <c r="R54" i="3"/>
  <c r="P54" i="3"/>
  <c r="R53" i="3"/>
  <c r="P53" i="3"/>
  <c r="R52" i="3"/>
  <c r="P52" i="3"/>
  <c r="S52" i="3" s="1"/>
  <c r="T52" i="3" s="1"/>
  <c r="R51" i="3"/>
  <c r="P51" i="3"/>
  <c r="R50" i="3"/>
  <c r="P50" i="3"/>
  <c r="R49" i="3"/>
  <c r="P49" i="3"/>
  <c r="S49" i="3" s="1"/>
  <c r="T49" i="3" s="1"/>
  <c r="R48" i="3"/>
  <c r="P48" i="3"/>
  <c r="S48" i="3" s="1"/>
  <c r="T48" i="3" s="1"/>
  <c r="R47" i="3"/>
  <c r="P47" i="3"/>
  <c r="R46" i="3"/>
  <c r="P46" i="3"/>
  <c r="R45" i="3"/>
  <c r="P45" i="3"/>
  <c r="S45" i="3" s="1"/>
  <c r="T45" i="3" s="1"/>
  <c r="R44" i="3"/>
  <c r="P44" i="3"/>
  <c r="S44" i="3" s="1"/>
  <c r="T44" i="3" s="1"/>
  <c r="R43" i="3"/>
  <c r="P43" i="3"/>
  <c r="R42" i="3"/>
  <c r="P42" i="3"/>
  <c r="R41" i="3"/>
  <c r="P41" i="3"/>
  <c r="S41" i="3" s="1"/>
  <c r="T41" i="3" s="1"/>
  <c r="R40" i="3"/>
  <c r="P40" i="3"/>
  <c r="S40" i="3" s="1"/>
  <c r="T40" i="3" s="1"/>
  <c r="R39" i="3"/>
  <c r="P39" i="3"/>
  <c r="R38" i="3"/>
  <c r="P38" i="3"/>
  <c r="R37" i="3"/>
  <c r="P37" i="3"/>
  <c r="S37" i="3" s="1"/>
  <c r="T37" i="3" s="1"/>
  <c r="R36" i="3"/>
  <c r="P36" i="3"/>
  <c r="S36" i="3" s="1"/>
  <c r="T36" i="3" s="1"/>
  <c r="R35" i="3"/>
  <c r="P35" i="3"/>
  <c r="R34" i="3"/>
  <c r="P34" i="3"/>
  <c r="R33" i="3"/>
  <c r="P33" i="3"/>
  <c r="S33" i="3" s="1"/>
  <c r="T33" i="3" s="1"/>
  <c r="R32" i="3"/>
  <c r="P32" i="3"/>
  <c r="S32" i="3" s="1"/>
  <c r="T32" i="3" s="1"/>
  <c r="R31" i="3"/>
  <c r="P31" i="3"/>
  <c r="R30" i="3"/>
  <c r="P30" i="3"/>
  <c r="R29" i="3"/>
  <c r="P29" i="3"/>
  <c r="S29" i="3" s="1"/>
  <c r="T29" i="3" s="1"/>
  <c r="R28" i="3"/>
  <c r="P28" i="3"/>
  <c r="S28" i="3" s="1"/>
  <c r="T28" i="3" s="1"/>
  <c r="R27" i="3"/>
  <c r="P27" i="3"/>
  <c r="R26" i="3"/>
  <c r="P26" i="3"/>
  <c r="R25" i="3"/>
  <c r="P25" i="3"/>
  <c r="S25" i="3" s="1"/>
  <c r="T25" i="3" s="1"/>
  <c r="R24" i="3"/>
  <c r="P24" i="3"/>
  <c r="S24" i="3" s="1"/>
  <c r="T24" i="3" s="1"/>
  <c r="R23" i="3"/>
  <c r="P23" i="3"/>
  <c r="R22" i="3"/>
  <c r="P22" i="3"/>
  <c r="R21" i="3"/>
  <c r="P21" i="3"/>
  <c r="S21" i="3" s="1"/>
  <c r="T21" i="3" s="1"/>
  <c r="R20" i="3"/>
  <c r="P20" i="3"/>
  <c r="S20" i="3" s="1"/>
  <c r="T20" i="3" s="1"/>
  <c r="R19" i="3"/>
  <c r="P19" i="3"/>
  <c r="R18" i="3"/>
  <c r="P18" i="3"/>
  <c r="R17" i="3"/>
  <c r="P17" i="3"/>
  <c r="S17" i="3" s="1"/>
  <c r="T17" i="3" s="1"/>
  <c r="R16" i="3"/>
  <c r="P16" i="3"/>
  <c r="S16" i="3" s="1"/>
  <c r="T16" i="3" s="1"/>
  <c r="R15" i="3"/>
  <c r="P15" i="3"/>
  <c r="R14" i="3"/>
  <c r="P14" i="3"/>
  <c r="R13" i="3"/>
  <c r="P13" i="3"/>
  <c r="S13" i="3" s="1"/>
  <c r="T13" i="3" s="1"/>
  <c r="R12" i="3"/>
  <c r="P12" i="3"/>
  <c r="S12" i="3" s="1"/>
  <c r="T12" i="3" s="1"/>
  <c r="R11" i="3"/>
  <c r="P11" i="3"/>
  <c r="R10" i="3"/>
  <c r="P10" i="3"/>
  <c r="R9" i="3"/>
  <c r="P9" i="3"/>
  <c r="S9" i="3" s="1"/>
  <c r="T9" i="3" s="1"/>
  <c r="R8" i="3"/>
  <c r="P8" i="3"/>
  <c r="S8" i="3" s="1"/>
  <c r="T8" i="3" s="1"/>
  <c r="R7" i="3"/>
  <c r="P7" i="3"/>
  <c r="R6" i="3"/>
  <c r="P6" i="3"/>
  <c r="R5" i="3"/>
  <c r="P5" i="3"/>
  <c r="S5" i="3" s="1"/>
  <c r="T5" i="3" s="1"/>
  <c r="P4" i="3"/>
  <c r="C21" i="1"/>
  <c r="C20" i="1"/>
  <c r="C19" i="1"/>
  <c r="C18" i="1"/>
  <c r="C10" i="1"/>
  <c r="C3" i="1"/>
  <c r="S6" i="3" l="1"/>
  <c r="T6" i="3" s="1"/>
  <c r="S10" i="3"/>
  <c r="T10" i="3" s="1"/>
  <c r="S14" i="3"/>
  <c r="T14" i="3" s="1"/>
  <c r="S18" i="3"/>
  <c r="T18" i="3" s="1"/>
  <c r="S22" i="3"/>
  <c r="T22" i="3" s="1"/>
  <c r="S26" i="3"/>
  <c r="T26" i="3" s="1"/>
  <c r="S30" i="3"/>
  <c r="T30" i="3" s="1"/>
  <c r="S34" i="3"/>
  <c r="T34" i="3" s="1"/>
  <c r="S38" i="3"/>
  <c r="T38" i="3" s="1"/>
  <c r="S42" i="3"/>
  <c r="T42" i="3" s="1"/>
  <c r="S46" i="3"/>
  <c r="T46" i="3" s="1"/>
  <c r="S50" i="3"/>
  <c r="T50" i="3" s="1"/>
  <c r="S54" i="3"/>
  <c r="T54" i="3" s="1"/>
  <c r="F28" i="4"/>
  <c r="S58" i="3"/>
  <c r="T58" i="3" s="1"/>
  <c r="S59" i="3"/>
  <c r="T59" i="3" s="1"/>
  <c r="S63" i="3"/>
  <c r="T63" i="3" s="1"/>
  <c r="S60" i="3"/>
  <c r="T60" i="3" s="1"/>
  <c r="S64" i="3"/>
  <c r="T64" i="3" s="1"/>
  <c r="G26" i="4"/>
  <c r="E28" i="4"/>
  <c r="D26" i="4"/>
  <c r="F24" i="4"/>
  <c r="G27" i="4"/>
  <c r="E27" i="4"/>
  <c r="S7" i="3"/>
  <c r="T7" i="3" s="1"/>
  <c r="S11" i="3"/>
  <c r="T11" i="3" s="1"/>
  <c r="S15" i="3"/>
  <c r="T15" i="3" s="1"/>
  <c r="S19" i="3"/>
  <c r="T19" i="3" s="1"/>
  <c r="S23" i="3"/>
  <c r="T23" i="3" s="1"/>
  <c r="S27" i="3"/>
  <c r="T27" i="3" s="1"/>
  <c r="S31" i="3"/>
  <c r="T31" i="3" s="1"/>
  <c r="S35" i="3"/>
  <c r="T35" i="3" s="1"/>
  <c r="S39" i="3"/>
  <c r="T39" i="3" s="1"/>
  <c r="S43" i="3"/>
  <c r="T43" i="3" s="1"/>
  <c r="S47" i="3"/>
  <c r="T47" i="3" s="1"/>
  <c r="S51" i="3"/>
  <c r="T51" i="3" s="1"/>
  <c r="S55" i="3"/>
  <c r="T55" i="3" s="1"/>
  <c r="S62" i="3"/>
  <c r="T62" i="3" s="1"/>
  <c r="F25" i="4"/>
  <c r="D27" i="4"/>
  <c r="S61" i="3"/>
  <c r="T61" i="3" s="1"/>
  <c r="S53" i="3"/>
  <c r="T53" i="3" s="1"/>
  <c r="S4" i="3"/>
  <c r="T4" i="3" s="1"/>
  <c r="S57" i="3"/>
  <c r="T57" i="3" s="1"/>
  <c r="G24" i="4"/>
  <c r="C26" i="4"/>
  <c r="G28" i="4"/>
  <c r="C25" i="4"/>
  <c r="E26" i="4"/>
  <c r="C24" i="4"/>
  <c r="E25" i="4"/>
  <c r="C28" i="4"/>
  <c r="D24" i="4"/>
  <c r="D2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THydock</author>
  </authors>
  <commentList>
    <comment ref="U3" authorId="0" shapeId="0" xr:uid="{00000000-0006-0000-0200-000001000000}">
      <text>
        <r>
          <rPr>
            <b/>
            <sz val="9"/>
            <color indexed="81"/>
            <rFont val="Tahoma"/>
            <family val="2"/>
          </rPr>
          <t>THydock:</t>
        </r>
        <r>
          <rPr>
            <sz val="9"/>
            <color indexed="81"/>
            <rFont val="Tahoma"/>
            <family val="2"/>
          </rPr>
          <t xml:space="preserve">
To identify the TOP 5 Risk - 
- Filter the spreadsheet
- Select the Filter Arrow button in the low right corner of the "Risk Exposure" ColumnTiitle
- Select "Number Filters"
- Select "Top 10"
- Change "10" to "5"
- Select "OK"</t>
        </r>
      </text>
    </comment>
  </commentList>
</comments>
</file>

<file path=xl/sharedStrings.xml><?xml version="1.0" encoding="utf-8"?>
<sst xmlns="http://schemas.openxmlformats.org/spreadsheetml/2006/main" count="321" uniqueCount="230">
  <si>
    <r>
      <rPr>
        <b/>
        <sz val="14"/>
        <color theme="1"/>
        <rFont val="Calibri"/>
        <family val="2"/>
        <scheme val="minor"/>
      </rPr>
      <t xml:space="preserve">SUMMARY: </t>
    </r>
    <r>
      <rPr>
        <b/>
        <sz val="14"/>
        <color rgb="FFFF0000"/>
        <rFont val="Calibri"/>
        <family val="2"/>
        <scheme val="minor"/>
      </rPr>
      <t xml:space="preserve"> AUTO POPULATED - DO NOT ENTER DATA HERE</t>
    </r>
  </si>
  <si>
    <t>Project Name</t>
  </si>
  <si>
    <t>Project Manager</t>
  </si>
  <si>
    <t>Project Number</t>
  </si>
  <si>
    <t>Project Folder</t>
  </si>
  <si>
    <t>Indicate location of prj folder</t>
  </si>
  <si>
    <t xml:space="preserve"> </t>
  </si>
  <si>
    <t>Risk Matrix</t>
  </si>
  <si>
    <t>TO BE DEVELOPED</t>
  </si>
  <si>
    <t>Probablity</t>
  </si>
  <si>
    <t>SUMMARY - RISK COUNT BY RATING</t>
  </si>
  <si>
    <t xml:space="preserve">TOP 5 RISKS </t>
  </si>
  <si>
    <t>Rating</t>
  </si>
  <si>
    <t>#</t>
  </si>
  <si>
    <t>Risk #</t>
  </si>
  <si>
    <t>Risk ID</t>
  </si>
  <si>
    <t>Risk Title</t>
  </si>
  <si>
    <t>RiskExposure</t>
  </si>
  <si>
    <t>HIGH (H) (Red)</t>
  </si>
  <si>
    <t>Risk 1</t>
  </si>
  <si>
    <t>MODERATE (M) (Yellow)</t>
  </si>
  <si>
    <t>Risk 2</t>
  </si>
  <si>
    <t xml:space="preserve">LOW (L) (Green) </t>
  </si>
  <si>
    <t>Risk 3</t>
  </si>
  <si>
    <t>TOTAL</t>
  </si>
  <si>
    <t>Risk 4</t>
  </si>
  <si>
    <t>Risk 5</t>
  </si>
  <si>
    <t>Impact</t>
  </si>
  <si>
    <r>
      <rPr>
        <b/>
        <sz val="10"/>
        <color indexed="10"/>
        <rFont val="Arial"/>
        <family val="2"/>
      </rPr>
      <t>HIGH (H)</t>
    </r>
    <r>
      <rPr>
        <sz val="10"/>
        <rFont val="Arial"/>
        <family val="2"/>
      </rPr>
      <t xml:space="preserve"> – Unacceptable. Major disruption likely; different approach required; priority management attention required. </t>
    </r>
  </si>
  <si>
    <r>
      <rPr>
        <b/>
        <sz val="10"/>
        <color rgb="FFFFFF00"/>
        <rFont val="Arial"/>
        <family val="2"/>
      </rPr>
      <t xml:space="preserve">MODERATE (M) </t>
    </r>
    <r>
      <rPr>
        <sz val="10"/>
        <rFont val="Arial"/>
        <family val="2"/>
      </rPr>
      <t>– Some disruption; different approach may be required; additional management attention may be needed.</t>
    </r>
  </si>
  <si>
    <r>
      <rPr>
        <b/>
        <sz val="10"/>
        <color rgb="FF00B050"/>
        <rFont val="Arial"/>
        <family val="2"/>
      </rPr>
      <t xml:space="preserve">LOW (L) </t>
    </r>
    <r>
      <rPr>
        <sz val="10"/>
        <rFont val="Arial"/>
        <family val="2"/>
      </rPr>
      <t>– Minimum impact; minimum oversight needed to ensure risk remains low.</t>
    </r>
  </si>
  <si>
    <t>LEGEND:</t>
  </si>
  <si>
    <t>Administrative</t>
  </si>
  <si>
    <t>Individual responsible for creating, updating and maintaining the integrity of the risk register.  Individual assigned with the responsibility of documenting risks and orchestrating project risk updates with the risk owners.</t>
  </si>
  <si>
    <t>Risk Identification</t>
  </si>
  <si>
    <t>A unique identifier in a numbering system assigned to a risk.  The identifier should be used for reference or for cross-reference in the future among project team members and future project stakeholders in search of historical information.  Example: R01, R02, R03...</t>
  </si>
  <si>
    <t>Date Identified</t>
  </si>
  <si>
    <t>The original date when the risk was originally brought to light, or identified. Example: "MM/DD/YY'</t>
  </si>
  <si>
    <t>Risk Submitter</t>
  </si>
  <si>
    <t>The name of the individual or group who identified and submitted the risk to bring the attention of project stakeholders.</t>
  </si>
  <si>
    <t>Risk Title (NEW)</t>
  </si>
  <si>
    <t>Short title/description of the risk - No more than 10 words</t>
  </si>
  <si>
    <t>Risk Description</t>
  </si>
  <si>
    <t>A brief description of future event that could result in either positive or negative results to the project, and the impact it will have on the project.</t>
  </si>
  <si>
    <t>Source (NEW)</t>
  </si>
  <si>
    <r>
      <t>Source of risk.</t>
    </r>
    <r>
      <rPr>
        <sz val="9"/>
        <color rgb="FFFF0000"/>
        <rFont val="Arial"/>
        <family val="2"/>
      </rPr>
      <t xml:space="preserve">   These values are list in cells in the Source Data Tab. </t>
    </r>
  </si>
  <si>
    <t>Risk Owner</t>
  </si>
  <si>
    <t xml:space="preserve">The risk owner is the individual assigned to the project who tracks the risks for triggers. </t>
  </si>
  <si>
    <t>Risk Type</t>
  </si>
  <si>
    <t>Risks can be positive (opportunity) or negative (threat.)  An example of an opportunity is "The latest UML software will reduce programming efforts by 30%, thus decreasing the amount of hours needed to produce the software."  An example of a threat is "A tornado can hit the remote city of Alabama as forecasted where the software developers are." Select "Threat" or "Opportunity" as appropriate</t>
  </si>
  <si>
    <t>Risk Category</t>
  </si>
  <si>
    <r>
      <t xml:space="preserve">If the risk is to occur, it will come from a root source. such as: nature, lack or abundance of technology, sponsorship, communications, schedule, budget, contracts and scope.  For example, "With the support of sponsors, there will be enough resources dedicated to the project."  The example references a positive risk or opportunity. Select from categories as defined by the Risk Management Plan.  </t>
    </r>
    <r>
      <rPr>
        <sz val="9"/>
        <color rgb="FFFF0000"/>
        <rFont val="Arial"/>
        <family val="2"/>
      </rPr>
      <t xml:space="preserve">These values are list in cells in the Source Data Tab. </t>
    </r>
  </si>
  <si>
    <t>RiskTrigger - Description</t>
  </si>
  <si>
    <t>Specifically what causes the risk to become a realized issue/problem - usually written in the form "If &lt;"this" occurs&gt;".  Brief description impact (positive or negative) on the project should the risk event occur.</t>
  </si>
  <si>
    <t>Risk Trigger- Expected Date (NEW)</t>
  </si>
  <si>
    <t xml:space="preserve">The estimated date on which the trigger event is expected to occur and impact the program. </t>
  </si>
  <si>
    <t>Potential Outcome (MODIFIED)</t>
  </si>
  <si>
    <t>What happens if the trigger event occurs - usually written in the form "then &lt;this outcome occurs&gt;".</t>
  </si>
  <si>
    <t>Task ID</t>
  </si>
  <si>
    <t>The task ID is the task defined in the network diagram, activity list or schedule that will be affected by the risk.  As an example, "There is not enough feedback from end-to-end user testing when the codes are updated and changed.  Members from the unit testing group will have the older codes, which will generate outdated and irrelevant applications in the future.  The impact will be to the quality of the product in the next release."  The unit testing tasks are the affected tasks, and their relevant Task IDs should be identified and documented in this case.</t>
  </si>
  <si>
    <t>Associated Risks</t>
  </si>
  <si>
    <t xml:space="preserve">Associated risks are inter-related.  If an event is to take place in the near future, these other events will also take place.     </t>
  </si>
  <si>
    <t>Risk Analysis</t>
  </si>
  <si>
    <t>Probability Rating</t>
  </si>
  <si>
    <r>
      <t>Probability of risk being realized, using scales defined in the Risk Management Plan</t>
    </r>
    <r>
      <rPr>
        <sz val="9"/>
        <color rgb="FFFF0000"/>
        <rFont val="Arial"/>
        <family val="2"/>
      </rPr>
      <t>.</t>
    </r>
    <r>
      <rPr>
        <sz val="9"/>
        <rFont val="Arial"/>
        <family val="2"/>
      </rPr>
      <t xml:space="preserve"> (See Prob-Impact Matrix tab)</t>
    </r>
  </si>
  <si>
    <t>Prob Value (NEW)</t>
  </si>
  <si>
    <r>
      <t>Numeric value of associated with the Probabiltity Rating.</t>
    </r>
    <r>
      <rPr>
        <sz val="9"/>
        <color rgb="FFFF0000"/>
        <rFont val="Arial"/>
        <family val="2"/>
      </rPr>
      <t xml:space="preserve"> These values are list in cells in the Source Data Tab. </t>
    </r>
  </si>
  <si>
    <t>Impact Rating</t>
  </si>
  <si>
    <r>
      <t xml:space="preserve">Qualitative ranking of impact to project, using scales defined in the Risk Management Plan. </t>
    </r>
    <r>
      <rPr>
        <sz val="9"/>
        <color rgb="FFFF0000"/>
        <rFont val="Arial"/>
        <family val="2"/>
      </rPr>
      <t xml:space="preserve"> </t>
    </r>
    <r>
      <rPr>
        <sz val="9"/>
        <rFont val="Arial"/>
        <family val="2"/>
      </rPr>
      <t>(See Prob-Impact Matrix tab)</t>
    </r>
  </si>
  <si>
    <t>Impact Value (NEW)</t>
  </si>
  <si>
    <r>
      <t>Numeric value of associated with the Impact Rating.</t>
    </r>
    <r>
      <rPr>
        <sz val="9"/>
        <color rgb="FFFF0000"/>
        <rFont val="Arial"/>
        <family val="2"/>
      </rPr>
      <t xml:space="preserve"> These values are list in cells in the Source Data Tab. </t>
    </r>
  </si>
  <si>
    <t>Risk Exposure Score (MODIFIED)</t>
  </si>
  <si>
    <t>This is calculated once you select the Impact and Probability.  These cells use conditional formatting to display color shadings as defined in the Source Data Tab. . (For explanation of Impact and Probablility - See Prob-Impact Matrix tab)</t>
  </si>
  <si>
    <t>Top 5
Y/N (NEW)</t>
  </si>
  <si>
    <t>Top 5 Risk notation - Enter "Y" - if risk is one of the 5 top rated risks and "N" or leave blank if it rated below the top 5 risks</t>
  </si>
  <si>
    <t>Risk Mitigation Planning</t>
  </si>
  <si>
    <t>Risk Response Type</t>
  </si>
  <si>
    <r>
      <t xml:space="preserve">Risk responses are chosen according to their risk categories.  If a risk is positive or is to bear an opportunity, the risk response type could be to accept the risk, exploit the risk or enhance the risk.  If a risk is negative or it is a threat, the risk response type could be to mitigate or avoid the risk.  For both situations, one can chose to transfer and share the risk with a different party.  Sharing or transferring a risk can be used when the resources and expertise are limited, though many other cases lend to the option for choosing these risk responses. Select from strategies as defined by the Risk Management Plan. </t>
    </r>
    <r>
      <rPr>
        <sz val="9"/>
        <color rgb="FFFF0000"/>
        <rFont val="Arial"/>
        <family val="2"/>
      </rPr>
      <t xml:space="preserve"> These values are list in cells in the Source Data Tab.</t>
    </r>
    <r>
      <rPr>
        <sz val="9"/>
        <rFont val="Arial"/>
        <family val="2"/>
      </rPr>
      <t xml:space="preserve"> Select one of the following: "Accept", "Transfer", "Mitigate", "Avoid", "Share", "Exploit", "Enhance" - </t>
    </r>
    <r>
      <rPr>
        <sz val="9"/>
        <color rgb="FFFF0000"/>
        <rFont val="Arial"/>
        <family val="2"/>
      </rPr>
      <t>.</t>
    </r>
  </si>
  <si>
    <t>Risk Response Description</t>
  </si>
  <si>
    <t>Based upon the choice selected for "Risk Response Type,"  outline how you plan on responding to the risk.  An example is to "Purchase software when the company's marketing news release is made public to bring the efficiency factor up by 30%."</t>
  </si>
  <si>
    <t>Risk Monitoring &amp; Control</t>
  </si>
  <si>
    <t>Risk Trigger Occurance</t>
  </si>
  <si>
    <t>The risk trigger occurrence communicates if the risk has or has not taken place. Select "YES" or "NO"</t>
  </si>
  <si>
    <t>Trigger Date Occurance (NEW)</t>
  </si>
  <si>
    <t>If triggered, the date the trigger occurred. The risk trigger occurrence communicates if the risk has or has not taken place.</t>
  </si>
  <si>
    <t>Status</t>
  </si>
  <si>
    <r>
      <t xml:space="preserve">Risk status (e.g. whether it has been triggered or not).  Select from one of the values listed in the drop down list. </t>
    </r>
    <r>
      <rPr>
        <sz val="9"/>
        <color rgb="FFFF0000"/>
        <rFont val="Arial"/>
        <family val="2"/>
      </rPr>
      <t>These values are list in cells in the Source Data Tab.</t>
    </r>
  </si>
  <si>
    <t>Notes (NEW)</t>
  </si>
  <si>
    <t>Additional notes - use as required to expand on explations or provide reminders.</t>
  </si>
  <si>
    <t>Project Name:</t>
  </si>
  <si>
    <t>Insert Project Name</t>
  </si>
  <si>
    <t>Insert Project Manager Name(s)</t>
  </si>
  <si>
    <t>Insert Project Number</t>
  </si>
  <si>
    <t>Risk Tracking</t>
  </si>
  <si>
    <r>
      <t xml:space="preserve">Source
</t>
    </r>
    <r>
      <rPr>
        <i/>
        <sz val="8"/>
        <rFont val="Arial"/>
        <family val="2"/>
      </rPr>
      <t>(Select)</t>
    </r>
  </si>
  <si>
    <r>
      <t xml:space="preserve">Risk Type
</t>
    </r>
    <r>
      <rPr>
        <i/>
        <sz val="8"/>
        <rFont val="Arial"/>
        <family val="2"/>
      </rPr>
      <t>(Select)</t>
    </r>
  </si>
  <si>
    <r>
      <t xml:space="preserve">Risk Category
</t>
    </r>
    <r>
      <rPr>
        <i/>
        <sz val="8"/>
        <rFont val="Arial"/>
        <family val="2"/>
      </rPr>
      <t>(Select)</t>
    </r>
  </si>
  <si>
    <r>
      <t xml:space="preserve">Risk Trigger Description
</t>
    </r>
    <r>
      <rPr>
        <sz val="8"/>
        <rFont val="Arial"/>
        <family val="2"/>
      </rPr>
      <t>(if &gt; this)</t>
    </r>
  </si>
  <si>
    <t>Risk Trigger Expected Date</t>
  </si>
  <si>
    <r>
      <t xml:space="preserve">Potential Outcome
</t>
    </r>
    <r>
      <rPr>
        <sz val="8"/>
        <rFont val="Arial"/>
        <family val="2"/>
      </rPr>
      <t>(then &gt; this)</t>
    </r>
  </si>
  <si>
    <r>
      <t xml:space="preserve">Probability Rating
</t>
    </r>
    <r>
      <rPr>
        <i/>
        <sz val="8"/>
        <rFont val="Arial"/>
        <family val="2"/>
      </rPr>
      <t>(Select)</t>
    </r>
  </si>
  <si>
    <t>Prob Value</t>
  </si>
  <si>
    <r>
      <t xml:space="preserve">Impact Rating
</t>
    </r>
    <r>
      <rPr>
        <i/>
        <sz val="8"/>
        <rFont val="Arial"/>
        <family val="2"/>
      </rPr>
      <t>(Select)</t>
    </r>
  </si>
  <si>
    <t>Impact Value</t>
  </si>
  <si>
    <t>Risk Exposure (Actual)</t>
  </si>
  <si>
    <t>Risk Exposure</t>
  </si>
  <si>
    <r>
      <t xml:space="preserve">Top 5
Y/N
</t>
    </r>
    <r>
      <rPr>
        <i/>
        <sz val="8"/>
        <rFont val="Arial"/>
        <family val="2"/>
      </rPr>
      <t xml:space="preserve">(Select)
</t>
    </r>
    <r>
      <rPr>
        <i/>
        <sz val="8"/>
        <color rgb="FFFF0000"/>
        <rFont val="Arial"/>
        <family val="2"/>
      </rPr>
      <t>(See Comment)</t>
    </r>
  </si>
  <si>
    <r>
      <t xml:space="preserve">Risk Response Type
</t>
    </r>
    <r>
      <rPr>
        <i/>
        <sz val="8"/>
        <rFont val="Arial"/>
        <family val="2"/>
      </rPr>
      <t>(Select)</t>
    </r>
  </si>
  <si>
    <r>
      <t xml:space="preserve">Risk Trigger Occurance
</t>
    </r>
    <r>
      <rPr>
        <i/>
        <sz val="8"/>
        <color theme="0"/>
        <rFont val="Arial"/>
        <family val="2"/>
      </rPr>
      <t>(Select)</t>
    </r>
  </si>
  <si>
    <t>Trigger Date Occurance</t>
  </si>
  <si>
    <r>
      <t xml:space="preserve">Status
</t>
    </r>
    <r>
      <rPr>
        <i/>
        <sz val="8"/>
        <color theme="0"/>
        <rFont val="Arial"/>
        <family val="2"/>
      </rPr>
      <t>(Select)</t>
    </r>
  </si>
  <si>
    <t>Notes</t>
  </si>
  <si>
    <t>R001</t>
  </si>
  <si>
    <t>Insert Name</t>
  </si>
  <si>
    <t>Insert short title</t>
  </si>
  <si>
    <t>Insert description</t>
  </si>
  <si>
    <t>Stakeholder</t>
  </si>
  <si>
    <t>Opportunity</t>
  </si>
  <si>
    <t>Budget</t>
  </si>
  <si>
    <t xml:space="preserve">If ???? occurs </t>
  </si>
  <si>
    <t>Insert expected  date</t>
  </si>
  <si>
    <t>Then ?? Is the outcome or result</t>
  </si>
  <si>
    <t>Identify Task IDs as appropriate</t>
  </si>
  <si>
    <t>Identify Associated Risk as appropriate</t>
  </si>
  <si>
    <t>Not Likely</t>
  </si>
  <si>
    <t>Catastrophic</t>
  </si>
  <si>
    <t>N</t>
  </si>
  <si>
    <t>Accept</t>
  </si>
  <si>
    <t>Descrbe planned response</t>
  </si>
  <si>
    <t>Insert date Trigger occurred</t>
  </si>
  <si>
    <t>Identified</t>
  </si>
  <si>
    <t>Add notes as appropriate</t>
  </si>
  <si>
    <t>R002</t>
  </si>
  <si>
    <t>Threat</t>
  </si>
  <si>
    <t>Schedule</t>
  </si>
  <si>
    <t>Near Certainty</t>
  </si>
  <si>
    <t>Significant</t>
  </si>
  <si>
    <t>Y</t>
  </si>
  <si>
    <t>Mitigate</t>
  </si>
  <si>
    <t>Planning Complete</t>
  </si>
  <si>
    <t>Risk Exposure Score Calculation</t>
  </si>
  <si>
    <t>Impact Ratings</t>
  </si>
  <si>
    <t>Value Assigned</t>
  </si>
  <si>
    <t>Program Impact</t>
  </si>
  <si>
    <t>Technical Impact</t>
  </si>
  <si>
    <t>Cost Impact</t>
  </si>
  <si>
    <t>Schedule Impact</t>
  </si>
  <si>
    <t>Marginal</t>
  </si>
  <si>
    <t>Remedy will cause program disruption</t>
  </si>
  <si>
    <t>Performance goals met, no impact on program success</t>
  </si>
  <si>
    <t>Program budget not dependant on issue; no impact on program success; development or production cost goals not exceeded or dependant on this issue</t>
  </si>
  <si>
    <t>Schedule not dependant on this issue; no impact on program success; development schedule goals not exceeded or not dependant on the issue</t>
  </si>
  <si>
    <t>Shorts a significant mission need</t>
  </si>
  <si>
    <t>Performance below goal, but within acceptable limites.  No charnges required, acceptable alternatives exist, minor impact on program success</t>
  </si>
  <si>
    <t>Program budget impacted by &lt; 1%; minor ipact on program success; development or production cost goals exceeded by 1 - 5%; program management reserces do not need to be used to implement workarounds</t>
  </si>
  <si>
    <t>Non-critical path activities late; workarounds would avoid impact onkey and non-key program milestones; minor impact on program success, development schedule goals exceeded by 1-5%</t>
  </si>
  <si>
    <t>Serious</t>
  </si>
  <si>
    <t>Shorts a critital mission need</t>
  </si>
  <si>
    <t>Performance below goal, moderate changes required, alternative would provide acceptable system performance, limited impact on program success</t>
  </si>
  <si>
    <t>Program budget impacted by 1 - 5%; limited impact on program success; development or production gost goals exceeded by 5 - 15%; program managemnet reserves do not need to be used to implement workarounds</t>
  </si>
  <si>
    <t>Critical path activiites onemonth late; workarounds would not meet program milstones; program success in doubt; develoment schedule goals exceeded by 5-10%</t>
  </si>
  <si>
    <t>Very Serious</t>
  </si>
  <si>
    <t>Potentially fails key performance parameter</t>
  </si>
  <si>
    <t>Performance unacceptable; signigicant changes required; possible alternaitves may exist; program success in doubt</t>
  </si>
  <si>
    <t>Program budget impacted by 5-10%; program success in doubt; development or production cost goals exceeded by 15-20%; program management reserves must be used to implement work arounds</t>
  </si>
  <si>
    <t>Critical path activities one month late; workarounds would not meet program melestones; program success in doubt; development schedule  goals exceed by 10 -15%</t>
  </si>
  <si>
    <t>Jeporadizes an exit criterion of current acquisition phase</t>
  </si>
  <si>
    <t>Performanace unacceptable; no viable alternatives exist; program success jeopardized</t>
  </si>
  <si>
    <t>Program budget impacted by 10%; program success jeporadized; development or production cost goals exceeded by 20 - 25%</t>
  </si>
  <si>
    <t>Key program milestones would be late by more than 2 months; program success jeoporadized; development schedule goals exceeded by 20%</t>
  </si>
  <si>
    <t>Probablity Ratings</t>
  </si>
  <si>
    <t>~10%</t>
  </si>
  <si>
    <t>Low Likelihood</t>
  </si>
  <si>
    <t>~30%</t>
  </si>
  <si>
    <t>Likely</t>
  </si>
  <si>
    <t>~50%</t>
  </si>
  <si>
    <t>Highly Likely</t>
  </si>
  <si>
    <t>~70%</t>
  </si>
  <si>
    <t>~90%</t>
  </si>
  <si>
    <t>Risk Impact Calculation:</t>
  </si>
  <si>
    <r>
      <t>Sum of: (Impact Value) * (Probability Value) ------</t>
    </r>
    <r>
      <rPr>
        <b/>
        <sz val="11"/>
        <color rgb="FFFF0000"/>
        <rFont val="Calibri"/>
        <family val="2"/>
        <scheme val="minor"/>
      </rPr>
      <t xml:space="preserve"> (LINKED)</t>
    </r>
  </si>
  <si>
    <r>
      <t>Source Data for Risk Register Tool Cells:</t>
    </r>
    <r>
      <rPr>
        <b/>
        <sz val="16"/>
        <color rgb="FFFF0000"/>
        <rFont val="Calibri"/>
        <family val="2"/>
        <scheme val="minor"/>
      </rPr>
      <t xml:space="preserve"> (DO NOT CHANGE - WILL IMPACT RISK REGISTER TOOL)</t>
    </r>
  </si>
  <si>
    <t>TECHNOLOGY DEPLOYED</t>
  </si>
  <si>
    <t>Risk Source</t>
  </si>
  <si>
    <t>LINKED</t>
  </si>
  <si>
    <t>Mid-Tier (Application)</t>
  </si>
  <si>
    <t>Formal Risk Review</t>
  </si>
  <si>
    <t>Technical</t>
  </si>
  <si>
    <t>Desktop</t>
  </si>
  <si>
    <t>Audit/Review</t>
  </si>
  <si>
    <t>Sponsorship</t>
  </si>
  <si>
    <t>Transfer</t>
  </si>
  <si>
    <t>Mainframe</t>
  </si>
  <si>
    <t>Status Meeting</t>
  </si>
  <si>
    <t>Communication</t>
  </si>
  <si>
    <t>Mitigate/Control</t>
  </si>
  <si>
    <t>Database</t>
  </si>
  <si>
    <t>Avoid</t>
  </si>
  <si>
    <t>Infrastructure</t>
  </si>
  <si>
    <t>Other</t>
  </si>
  <si>
    <t>Share</t>
  </si>
  <si>
    <t>Office Automation</t>
  </si>
  <si>
    <t>Contracts</t>
  </si>
  <si>
    <t>Exploit</t>
  </si>
  <si>
    <t>Telecommunications</t>
  </si>
  <si>
    <t>Scope</t>
  </si>
  <si>
    <t>Enhance</t>
  </si>
  <si>
    <t>Analysis Complete</t>
  </si>
  <si>
    <t>Probabilty Rating</t>
  </si>
  <si>
    <t>Triggered</t>
  </si>
  <si>
    <t>Resolved</t>
  </si>
  <si>
    <t>Retired</t>
  </si>
  <si>
    <t>Cancelled</t>
  </si>
  <si>
    <t>DO NOT REMOVE LINKED TO TOOL</t>
  </si>
  <si>
    <t>Green/Yellow/Red Threshold Values</t>
  </si>
  <si>
    <t>Risk Count by Threshold Value</t>
  </si>
  <si>
    <t>Green - maximum score</t>
  </si>
  <si>
    <t>High</t>
  </si>
  <si>
    <t>Yellow - minimum score</t>
  </si>
  <si>
    <t>Medium</t>
  </si>
  <si>
    <t>Yellow - maximum score</t>
  </si>
  <si>
    <t>Low</t>
  </si>
  <si>
    <t>Red - minimum score</t>
  </si>
  <si>
    <t>Total</t>
  </si>
  <si>
    <t>White - Blank Cell</t>
  </si>
  <si>
    <t>Y/N</t>
  </si>
  <si>
    <t>Document #</t>
  </si>
  <si>
    <t>Insert Prj #</t>
  </si>
  <si>
    <t>Enter the Project Identifier</t>
  </si>
  <si>
    <t>[DCN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</si>
</sst>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00"/>
    <numFmt numFmtId="166" formatCode="#,##0.000"/>
  </numFmts>
  <fonts count="34"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4"/>
      <color rgb="FFFF0000"/>
      <name val="Calibri"/>
      <family val="2"/>
      <scheme val="minor"/>
    </font>
    <font>
      <b/>
      <sz val="16"/>
      <color theme="1"/>
      <name val="Calibri"/>
      <family val="2"/>
      <scheme val="minor"/>
    </font>
    <font>
      <b/>
      <sz val="12"/>
      <color theme="1"/>
      <name val="Calibri"/>
      <family val="2"/>
      <scheme val="minor"/>
    </font>
    <font>
      <b/>
      <sz val="11"/>
      <color rgb="FFFF0000"/>
      <name val="Calibri"/>
      <family val="2"/>
      <scheme val="minor"/>
    </font>
    <font>
      <sz val="10"/>
      <name val="Arial"/>
      <family val="2"/>
    </font>
    <font>
      <b/>
      <sz val="11"/>
      <name val="Arial"/>
      <family val="2"/>
    </font>
    <font>
      <b/>
      <sz val="11"/>
      <name val="Calibri"/>
      <family val="2"/>
      <scheme val="minor"/>
    </font>
    <font>
      <sz val="11"/>
      <name val="Calibri"/>
      <family val="2"/>
      <scheme val="minor"/>
    </font>
    <font>
      <b/>
      <sz val="11"/>
      <color theme="0"/>
      <name val="Arial"/>
      <family val="2"/>
    </font>
    <font>
      <b/>
      <sz val="10"/>
      <color indexed="10"/>
      <name val="Arial"/>
      <family val="2"/>
    </font>
    <font>
      <b/>
      <sz val="10"/>
      <color rgb="FFFFFF00"/>
      <name val="Arial"/>
      <family val="2"/>
    </font>
    <font>
      <b/>
      <sz val="10"/>
      <color rgb="FF00B050"/>
      <name val="Arial"/>
      <family val="2"/>
    </font>
    <font>
      <b/>
      <sz val="9"/>
      <color theme="0"/>
      <name val="Arial"/>
      <family val="2"/>
    </font>
    <font>
      <b/>
      <sz val="9"/>
      <name val="Arial"/>
      <family val="2"/>
    </font>
    <font>
      <sz val="9"/>
      <name val="Arial"/>
      <family val="2"/>
    </font>
    <font>
      <sz val="9"/>
      <color theme="0"/>
      <name val="Arial"/>
      <family val="2"/>
    </font>
    <font>
      <sz val="9"/>
      <color rgb="FFFF0000"/>
      <name val="Arial"/>
      <family val="2"/>
    </font>
    <font>
      <b/>
      <sz val="10"/>
      <name val="Arial"/>
      <family val="2"/>
    </font>
    <font>
      <i/>
      <sz val="8"/>
      <name val="Arial"/>
      <family val="2"/>
    </font>
    <font>
      <sz val="8"/>
      <name val="Arial"/>
      <family val="2"/>
    </font>
    <font>
      <i/>
      <sz val="8"/>
      <color rgb="FFFF0000"/>
      <name val="Arial"/>
      <family val="2"/>
    </font>
    <font>
      <b/>
      <sz val="10"/>
      <color theme="0"/>
      <name val="Arial"/>
      <family val="2"/>
    </font>
    <font>
      <i/>
      <sz val="8"/>
      <color theme="0"/>
      <name val="Arial"/>
      <family val="2"/>
    </font>
    <font>
      <strike/>
      <sz val="11"/>
      <name val="Calibri"/>
      <family val="2"/>
      <scheme val="minor"/>
    </font>
    <font>
      <b/>
      <sz val="9"/>
      <color indexed="81"/>
      <name val="Tahoma"/>
      <family val="2"/>
    </font>
    <font>
      <sz val="9"/>
      <color indexed="81"/>
      <name val="Tahoma"/>
      <family val="2"/>
    </font>
    <font>
      <sz val="16"/>
      <color theme="1"/>
      <name val="Calibri"/>
      <family val="2"/>
      <scheme val="minor"/>
    </font>
    <font>
      <sz val="18"/>
      <color theme="1"/>
      <name val="Calibri"/>
      <family val="2"/>
      <scheme val="minor"/>
    </font>
    <font>
      <b/>
      <sz val="16"/>
      <color rgb="FFFF0000"/>
      <name val="Calibri"/>
      <family val="2"/>
      <scheme val="minor"/>
    </font>
    <font>
      <b/>
      <sz val="10"/>
      <color rgb="FFFF0000"/>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4"/>
        <bgColor indexed="64"/>
      </patternFill>
    </fill>
    <fill>
      <patternFill patternType="solid">
        <fgColor rgb="FFFFC000"/>
        <bgColor indexed="64"/>
      </patternFill>
    </fill>
    <fill>
      <patternFill patternType="solid">
        <fgColor theme="8" tint="0.59999389629810485"/>
        <bgColor indexed="64"/>
      </patternFill>
    </fill>
    <fill>
      <patternFill patternType="solid">
        <fgColor rgb="FF7030A0"/>
        <bgColor indexed="64"/>
      </patternFill>
    </fill>
    <fill>
      <patternFill patternType="solid">
        <fgColor theme="0"/>
        <bgColor indexed="64"/>
      </patternFill>
    </fill>
    <fill>
      <patternFill patternType="solid">
        <fgColor theme="1" tint="0.499984740745262"/>
        <bgColor indexed="64"/>
      </patternFill>
    </fill>
    <fill>
      <patternFill patternType="solid">
        <fgColor rgb="FFCCFFFF"/>
        <bgColor indexed="64"/>
      </patternFill>
    </fill>
    <fill>
      <patternFill patternType="solid">
        <fgColor theme="0" tint="-4.9989318521683403E-2"/>
        <bgColor indexed="64"/>
      </patternFill>
    </fill>
  </fills>
  <borders count="4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3">
    <xf numFmtId="0" fontId="0" fillId="0" borderId="0"/>
    <xf numFmtId="0" fontId="8" fillId="0" borderId="0"/>
    <xf numFmtId="0" fontId="8" fillId="0" borderId="0"/>
  </cellStyleXfs>
  <cellXfs count="245">
    <xf numFmtId="0" fontId="0" fillId="0" borderId="0" xfId="0"/>
    <xf numFmtId="0" fontId="3" fillId="0" borderId="0" xfId="0" applyFont="1"/>
    <xf numFmtId="0" fontId="5" fillId="0" borderId="0" xfId="0" applyFont="1"/>
    <xf numFmtId="0" fontId="6" fillId="0" borderId="0" xfId="0" applyFont="1"/>
    <xf numFmtId="0" fontId="7" fillId="0" borderId="0" xfId="0" applyFont="1"/>
    <xf numFmtId="0" fontId="2" fillId="0" borderId="0" xfId="0" applyFont="1" applyFill="1" applyBorder="1"/>
    <xf numFmtId="0" fontId="0" fillId="0" borderId="0" xfId="0" applyFill="1" applyBorder="1"/>
    <xf numFmtId="0" fontId="9" fillId="2" borderId="1" xfId="1" applyFont="1" applyFill="1" applyBorder="1" applyAlignment="1"/>
    <xf numFmtId="0" fontId="9" fillId="2" borderId="2" xfId="1" applyFont="1" applyFill="1" applyBorder="1" applyAlignment="1"/>
    <xf numFmtId="0" fontId="2" fillId="2" borderId="1" xfId="0" applyFont="1" applyFill="1" applyBorder="1"/>
    <xf numFmtId="0" fontId="0" fillId="2" borderId="3" xfId="0" applyFill="1" applyBorder="1"/>
    <xf numFmtId="0" fontId="0" fillId="2" borderId="2" xfId="0" applyFill="1" applyBorder="1"/>
    <xf numFmtId="2" fontId="2" fillId="0" borderId="0" xfId="0" applyNumberFormat="1" applyFont="1" applyFill="1" applyBorder="1" applyAlignment="1">
      <alignment vertical="center"/>
    </xf>
    <xf numFmtId="0" fontId="10" fillId="3" borderId="4" xfId="0" applyFont="1" applyFill="1" applyBorder="1"/>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1" fillId="0" borderId="0" xfId="0" applyFont="1" applyFill="1" applyBorder="1" applyAlignment="1">
      <alignment horizontal="center" vertical="center"/>
    </xf>
    <xf numFmtId="0" fontId="9" fillId="2" borderId="1" xfId="1" applyFont="1" applyFill="1" applyBorder="1" applyAlignment="1">
      <alignment horizontal="center"/>
    </xf>
    <xf numFmtId="0" fontId="9" fillId="2" borderId="7" xfId="1" applyFont="1" applyFill="1" applyBorder="1" applyAlignment="1">
      <alignment horizontal="center"/>
    </xf>
    <xf numFmtId="0" fontId="2" fillId="2" borderId="8" xfId="0" applyFont="1" applyFill="1" applyBorder="1"/>
    <xf numFmtId="0" fontId="2" fillId="3" borderId="9" xfId="0" applyFont="1" applyFill="1" applyBorder="1"/>
    <xf numFmtId="0" fontId="2" fillId="3" borderId="10"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2" fillId="4" borderId="8" xfId="1" applyFont="1" applyFill="1" applyBorder="1"/>
    <xf numFmtId="0" fontId="2" fillId="0" borderId="10" xfId="0" applyFont="1" applyBorder="1"/>
    <xf numFmtId="0" fontId="2" fillId="5" borderId="9" xfId="0" applyFont="1" applyFill="1" applyBorder="1"/>
    <xf numFmtId="0" fontId="2" fillId="5" borderId="10" xfId="0" applyFont="1" applyFill="1" applyBorder="1" applyAlignment="1">
      <alignment horizontal="center" vertical="center"/>
    </xf>
    <xf numFmtId="0" fontId="10" fillId="3" borderId="10" xfId="0" applyFont="1" applyFill="1" applyBorder="1" applyAlignment="1">
      <alignment horizontal="center" vertical="center"/>
    </xf>
    <xf numFmtId="0" fontId="0" fillId="0" borderId="0" xfId="0" applyFill="1" applyBorder="1" applyAlignment="1">
      <alignment horizontal="center" vertical="center"/>
    </xf>
    <xf numFmtId="0" fontId="9" fillId="3" borderId="10" xfId="1" applyFont="1" applyFill="1" applyBorder="1"/>
    <xf numFmtId="0" fontId="12" fillId="6" borderId="10" xfId="1" applyFont="1" applyFill="1" applyBorder="1"/>
    <xf numFmtId="0" fontId="2" fillId="5" borderId="12" xfId="0" applyFont="1" applyFill="1" applyBorder="1"/>
    <xf numFmtId="0" fontId="2" fillId="5" borderId="13" xfId="0" applyFont="1" applyFill="1" applyBorder="1" applyAlignment="1">
      <alignment horizontal="center" vertical="center"/>
    </xf>
    <xf numFmtId="0" fontId="2" fillId="3" borderId="13" xfId="0" applyFont="1" applyFill="1" applyBorder="1" applyAlignment="1">
      <alignment horizontal="center" vertical="center"/>
    </xf>
    <xf numFmtId="0" fontId="10" fillId="3" borderId="14" xfId="0" applyFont="1" applyFill="1" applyBorder="1" applyAlignment="1">
      <alignment horizontal="center" vertical="center"/>
    </xf>
    <xf numFmtId="0" fontId="9" fillId="0" borderId="10" xfId="1" applyFont="1" applyBorder="1"/>
    <xf numFmtId="2" fontId="2" fillId="0" borderId="0" xfId="0" applyNumberFormat="1" applyFont="1" applyFill="1" applyBorder="1" applyAlignment="1">
      <alignment horizontal="center"/>
    </xf>
    <xf numFmtId="2" fontId="2" fillId="0" borderId="0"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0" fillId="0" borderId="0" xfId="0" applyFill="1"/>
    <xf numFmtId="0" fontId="8" fillId="2" borderId="10" xfId="1" applyFont="1" applyFill="1" applyBorder="1" applyAlignment="1">
      <alignment vertical="top" wrapText="1"/>
    </xf>
    <xf numFmtId="0" fontId="8" fillId="0" borderId="0" xfId="1" applyFont="1" applyFill="1" applyBorder="1" applyAlignment="1">
      <alignment vertical="top" wrapText="1"/>
    </xf>
    <xf numFmtId="0" fontId="5" fillId="2" borderId="15" xfId="0" applyFont="1" applyFill="1" applyBorder="1" applyAlignment="1">
      <alignment vertical="center" wrapText="1"/>
    </xf>
    <xf numFmtId="0" fontId="5" fillId="2" borderId="16" xfId="0" applyFont="1" applyFill="1" applyBorder="1" applyAlignment="1">
      <alignment vertical="center" wrapText="1"/>
    </xf>
    <xf numFmtId="0" fontId="5" fillId="2" borderId="17" xfId="0" applyFont="1" applyFill="1" applyBorder="1" applyAlignment="1">
      <alignment vertical="center" wrapText="1"/>
    </xf>
    <xf numFmtId="0" fontId="8" fillId="0" borderId="0" xfId="1" applyFill="1" applyBorder="1" applyAlignment="1">
      <alignment vertical="top" wrapText="1"/>
    </xf>
    <xf numFmtId="0" fontId="0" fillId="0" borderId="0" xfId="0" applyFill="1" applyBorder="1" applyAlignment="1">
      <alignment vertical="top"/>
    </xf>
    <xf numFmtId="0" fontId="0" fillId="0" borderId="0" xfId="0" applyFill="1" applyAlignment="1">
      <alignment vertical="top"/>
    </xf>
    <xf numFmtId="0" fontId="16" fillId="7" borderId="7" xfId="1" applyFont="1" applyFill="1" applyBorder="1" applyAlignment="1">
      <alignment vertical="center" wrapText="1"/>
    </xf>
    <xf numFmtId="0" fontId="17" fillId="2" borderId="18" xfId="1" applyFont="1" applyFill="1" applyBorder="1" applyAlignment="1">
      <alignment vertical="top" wrapText="1"/>
    </xf>
    <xf numFmtId="0" fontId="18" fillId="0" borderId="19" xfId="1" applyFont="1" applyBorder="1" applyAlignment="1">
      <alignment vertical="top" wrapText="1"/>
    </xf>
    <xf numFmtId="0" fontId="18" fillId="0" borderId="0" xfId="1" applyFont="1" applyBorder="1" applyAlignment="1">
      <alignment vertical="top" wrapText="1"/>
    </xf>
    <xf numFmtId="0" fontId="19" fillId="7" borderId="20" xfId="1" applyFont="1" applyFill="1" applyBorder="1" applyAlignment="1">
      <alignment vertical="center" wrapText="1"/>
    </xf>
    <xf numFmtId="0" fontId="17" fillId="2" borderId="21" xfId="1" applyFont="1" applyFill="1" applyBorder="1" applyAlignment="1">
      <alignment vertical="top" wrapText="1"/>
    </xf>
    <xf numFmtId="0" fontId="18" fillId="0" borderId="19" xfId="1" applyFont="1" applyBorder="1" applyAlignment="1">
      <alignment horizontal="left" vertical="top" wrapText="1"/>
    </xf>
    <xf numFmtId="0" fontId="1" fillId="7" borderId="7" xfId="0" applyFont="1" applyFill="1" applyBorder="1" applyAlignment="1">
      <alignment vertical="center" wrapText="1"/>
    </xf>
    <xf numFmtId="0" fontId="17" fillId="5" borderId="18" xfId="1" applyFont="1" applyFill="1" applyBorder="1" applyAlignment="1">
      <alignment vertical="top" wrapText="1"/>
    </xf>
    <xf numFmtId="0" fontId="18" fillId="0" borderId="22" xfId="1" applyFont="1" applyBorder="1" applyAlignment="1">
      <alignment vertical="top" wrapText="1"/>
    </xf>
    <xf numFmtId="0" fontId="18" fillId="0" borderId="23" xfId="1" applyFont="1" applyBorder="1" applyAlignment="1">
      <alignment vertical="top" wrapText="1"/>
    </xf>
    <xf numFmtId="0" fontId="0" fillId="0" borderId="0" xfId="0" applyBorder="1" applyAlignment="1">
      <alignment vertical="top"/>
    </xf>
    <xf numFmtId="0" fontId="0" fillId="0" borderId="0" xfId="0" applyAlignment="1">
      <alignment vertical="top"/>
    </xf>
    <xf numFmtId="0" fontId="1" fillId="7" borderId="20" xfId="0" applyFont="1" applyFill="1" applyBorder="1" applyAlignment="1">
      <alignment vertical="center" wrapText="1"/>
    </xf>
    <xf numFmtId="0" fontId="17" fillId="5" borderId="21" xfId="1" applyFont="1" applyFill="1" applyBorder="1" applyAlignment="1">
      <alignment vertical="top" wrapText="1"/>
    </xf>
    <xf numFmtId="0" fontId="18" fillId="0" borderId="19" xfId="1" applyFont="1" applyBorder="1" applyAlignment="1">
      <alignment vertical="top"/>
    </xf>
    <xf numFmtId="0" fontId="18" fillId="0" borderId="0" xfId="1" applyFont="1" applyBorder="1" applyAlignment="1">
      <alignment vertical="top"/>
    </xf>
    <xf numFmtId="0" fontId="18" fillId="0" borderId="23" xfId="1" applyFont="1" applyBorder="1" applyAlignment="1">
      <alignment vertical="top"/>
    </xf>
    <xf numFmtId="0" fontId="17" fillId="5" borderId="22" xfId="1" applyFont="1" applyFill="1" applyBorder="1" applyAlignment="1">
      <alignment vertical="top" wrapText="1"/>
    </xf>
    <xf numFmtId="0" fontId="18" fillId="0" borderId="18" xfId="1" applyFont="1" applyBorder="1" applyAlignment="1">
      <alignment vertical="top"/>
    </xf>
    <xf numFmtId="0" fontId="0" fillId="0" borderId="0" xfId="0" applyBorder="1" applyAlignment="1">
      <alignment vertical="top" wrapText="1"/>
    </xf>
    <xf numFmtId="0" fontId="0" fillId="0" borderId="0" xfId="0" applyAlignment="1">
      <alignment vertical="top" wrapText="1"/>
    </xf>
    <xf numFmtId="0" fontId="1" fillId="7" borderId="24" xfId="0" applyFont="1" applyFill="1" applyBorder="1" applyAlignment="1">
      <alignment vertical="center" wrapText="1"/>
    </xf>
    <xf numFmtId="0" fontId="17" fillId="5" borderId="25" xfId="1" applyFont="1" applyFill="1" applyBorder="1" applyAlignment="1">
      <alignment vertical="top" wrapText="1"/>
    </xf>
    <xf numFmtId="0" fontId="18" fillId="0" borderId="26" xfId="1" applyFont="1" applyBorder="1" applyAlignment="1">
      <alignment vertical="top" wrapText="1"/>
    </xf>
    <xf numFmtId="0" fontId="17" fillId="8" borderId="27" xfId="1" applyFont="1" applyFill="1" applyBorder="1" applyAlignment="1">
      <alignment vertical="top" wrapText="1"/>
    </xf>
    <xf numFmtId="0" fontId="18" fillId="0" borderId="21" xfId="1" applyFont="1" applyBorder="1" applyAlignment="1">
      <alignment vertical="top" wrapText="1"/>
    </xf>
    <xf numFmtId="0" fontId="17" fillId="8" borderId="22" xfId="1" applyFont="1" applyFill="1" applyBorder="1" applyAlignment="1">
      <alignment vertical="top" wrapText="1"/>
    </xf>
    <xf numFmtId="0" fontId="18" fillId="0" borderId="28" xfId="1" applyFont="1" applyBorder="1" applyAlignment="1">
      <alignment vertical="top" wrapText="1"/>
    </xf>
    <xf numFmtId="0" fontId="17" fillId="8" borderId="19" xfId="1" applyFont="1" applyFill="1" applyBorder="1" applyAlignment="1">
      <alignment vertical="top" wrapText="1"/>
    </xf>
    <xf numFmtId="0" fontId="18" fillId="0" borderId="18" xfId="1" applyFont="1" applyBorder="1" applyAlignment="1">
      <alignment vertical="top" wrapText="1"/>
    </xf>
    <xf numFmtId="0" fontId="17" fillId="8" borderId="26" xfId="1" applyFont="1" applyFill="1" applyBorder="1" applyAlignment="1">
      <alignment vertical="top" wrapText="1"/>
    </xf>
    <xf numFmtId="0" fontId="18" fillId="0" borderId="25" xfId="1" applyFont="1" applyBorder="1" applyAlignment="1">
      <alignment vertical="top" wrapText="1"/>
    </xf>
    <xf numFmtId="0" fontId="17" fillId="9" borderId="19" xfId="1" applyFont="1" applyFill="1" applyBorder="1" applyAlignment="1">
      <alignment vertical="top" wrapText="1"/>
    </xf>
    <xf numFmtId="0" fontId="16" fillId="10" borderId="19" xfId="1" applyFont="1" applyFill="1" applyBorder="1" applyAlignment="1">
      <alignment vertical="top" wrapText="1"/>
    </xf>
    <xf numFmtId="0" fontId="18" fillId="0" borderId="20" xfId="1" applyFont="1" applyBorder="1" applyAlignment="1">
      <alignment vertical="top" wrapText="1"/>
    </xf>
    <xf numFmtId="0" fontId="16" fillId="10" borderId="26" xfId="1" applyFont="1" applyFill="1" applyBorder="1" applyAlignment="1">
      <alignment vertical="top" wrapText="1"/>
    </xf>
    <xf numFmtId="0" fontId="18" fillId="0" borderId="25" xfId="1" applyFont="1" applyBorder="1" applyAlignment="1">
      <alignment vertical="top"/>
    </xf>
    <xf numFmtId="0" fontId="2" fillId="0" borderId="0" xfId="0" applyFont="1" applyBorder="1" applyAlignment="1">
      <alignment vertical="center" wrapText="1"/>
    </xf>
    <xf numFmtId="0" fontId="2" fillId="0" borderId="0" xfId="0" applyFont="1" applyAlignment="1">
      <alignment vertical="center" wrapText="1"/>
    </xf>
    <xf numFmtId="0" fontId="2" fillId="2" borderId="15" xfId="0" applyFont="1" applyFill="1" applyBorder="1"/>
    <xf numFmtId="164" fontId="2" fillId="2" borderId="16" xfId="0" applyNumberFormat="1" applyFont="1" applyFill="1" applyBorder="1"/>
    <xf numFmtId="0" fontId="0" fillId="3" borderId="29" xfId="0" applyFont="1" applyFill="1" applyBorder="1"/>
    <xf numFmtId="0" fontId="2" fillId="3" borderId="30" xfId="0" applyFont="1" applyFill="1" applyBorder="1" applyAlignment="1">
      <alignment wrapText="1"/>
    </xf>
    <xf numFmtId="0" fontId="2" fillId="3" borderId="31" xfId="0" applyFont="1" applyFill="1" applyBorder="1" applyAlignment="1">
      <alignment wrapText="1"/>
    </xf>
    <xf numFmtId="0" fontId="2" fillId="2" borderId="17" xfId="0" applyFont="1" applyFill="1" applyBorder="1" applyAlignment="1">
      <alignment wrapText="1"/>
    </xf>
    <xf numFmtId="0" fontId="0" fillId="3" borderId="7" xfId="0" applyFont="1" applyFill="1" applyBorder="1" applyAlignment="1">
      <alignment wrapText="1"/>
    </xf>
    <xf numFmtId="0" fontId="2" fillId="2" borderId="15" xfId="0" applyFont="1" applyFill="1" applyBorder="1" applyAlignment="1">
      <alignment wrapText="1"/>
    </xf>
    <xf numFmtId="0" fontId="0" fillId="3" borderId="15" xfId="0" applyFont="1" applyFill="1" applyBorder="1" applyAlignment="1"/>
    <xf numFmtId="0" fontId="2" fillId="3" borderId="16" xfId="0" applyFont="1" applyFill="1" applyBorder="1" applyAlignment="1">
      <alignment wrapText="1"/>
    </xf>
    <xf numFmtId="0" fontId="2" fillId="3" borderId="3" xfId="0" applyFont="1" applyFill="1" applyBorder="1" applyAlignment="1">
      <alignment wrapText="1"/>
    </xf>
    <xf numFmtId="0" fontId="2" fillId="3" borderId="3" xfId="0" applyFont="1" applyFill="1" applyBorder="1" applyAlignment="1">
      <alignment horizontal="center" vertical="top"/>
    </xf>
    <xf numFmtId="165" fontId="2" fillId="3" borderId="3" xfId="0" applyNumberFormat="1" applyFont="1" applyFill="1" applyBorder="1" applyAlignment="1">
      <alignment horizontal="center" vertical="top"/>
    </xf>
    <xf numFmtId="0" fontId="2" fillId="3" borderId="2" xfId="0" applyFont="1" applyFill="1" applyBorder="1"/>
    <xf numFmtId="0" fontId="2" fillId="0" borderId="0" xfId="0" applyFont="1"/>
    <xf numFmtId="0" fontId="2" fillId="5" borderId="15" xfId="0" applyFont="1" applyFill="1" applyBorder="1" applyAlignment="1"/>
    <xf numFmtId="0" fontId="2" fillId="5" borderId="16" xfId="0" applyFont="1" applyFill="1" applyBorder="1" applyAlignment="1"/>
    <xf numFmtId="0" fontId="2" fillId="5" borderId="3" xfId="0" applyFont="1" applyFill="1" applyBorder="1" applyAlignment="1"/>
    <xf numFmtId="0" fontId="2" fillId="5" borderId="2" xfId="0" applyFont="1" applyFill="1" applyBorder="1" applyAlignment="1"/>
    <xf numFmtId="0" fontId="2" fillId="8" borderId="32" xfId="0" applyFont="1" applyFill="1" applyBorder="1" applyAlignment="1">
      <alignment vertical="center"/>
    </xf>
    <xf numFmtId="0" fontId="2" fillId="8" borderId="33" xfId="0" applyFont="1" applyFill="1" applyBorder="1" applyAlignment="1">
      <alignment vertical="center"/>
    </xf>
    <xf numFmtId="0" fontId="2" fillId="9" borderId="3" xfId="0" applyFont="1" applyFill="1" applyBorder="1" applyAlignment="1"/>
    <xf numFmtId="0" fontId="2" fillId="9" borderId="2" xfId="0" applyFont="1" applyFill="1" applyBorder="1" applyAlignment="1"/>
    <xf numFmtId="0" fontId="1" fillId="10" borderId="1" xfId="0" applyFont="1" applyFill="1" applyBorder="1" applyAlignment="1"/>
    <xf numFmtId="0" fontId="1" fillId="10" borderId="3" xfId="0" applyFont="1" applyFill="1" applyBorder="1" applyAlignment="1"/>
    <xf numFmtId="0" fontId="1" fillId="10" borderId="2" xfId="0" applyFont="1" applyFill="1" applyBorder="1" applyAlignment="1"/>
    <xf numFmtId="0" fontId="21" fillId="5" borderId="10" xfId="2" applyFont="1" applyFill="1" applyBorder="1" applyAlignment="1">
      <alignment horizontal="center" vertical="center" wrapText="1"/>
    </xf>
    <xf numFmtId="164" fontId="21" fillId="5" borderId="10" xfId="2" applyNumberFormat="1" applyFont="1" applyFill="1" applyBorder="1" applyAlignment="1">
      <alignment horizontal="center" vertical="center" wrapText="1"/>
    </xf>
    <xf numFmtId="0" fontId="21" fillId="5" borderId="34" xfId="2" applyFont="1" applyFill="1" applyBorder="1" applyAlignment="1">
      <alignment horizontal="center" vertical="center" wrapText="1"/>
    </xf>
    <xf numFmtId="0" fontId="21" fillId="5" borderId="35" xfId="2" applyFont="1" applyFill="1" applyBorder="1" applyAlignment="1">
      <alignment horizontal="center" vertical="center" wrapText="1"/>
    </xf>
    <xf numFmtId="0" fontId="21" fillId="8" borderId="36" xfId="2" applyFont="1" applyFill="1" applyBorder="1" applyAlignment="1">
      <alignment horizontal="center" vertical="center" wrapText="1"/>
    </xf>
    <xf numFmtId="0" fontId="21" fillId="8" borderId="37" xfId="2" applyFont="1" applyFill="1" applyBorder="1" applyAlignment="1">
      <alignment horizontal="center" vertical="center" wrapText="1"/>
    </xf>
    <xf numFmtId="165" fontId="21" fillId="8" borderId="36" xfId="2" applyNumberFormat="1" applyFont="1" applyFill="1" applyBorder="1" applyAlignment="1">
      <alignment horizontal="center" vertical="center" wrapText="1"/>
    </xf>
    <xf numFmtId="165" fontId="21" fillId="8" borderId="38" xfId="2" applyNumberFormat="1" applyFont="1" applyFill="1" applyBorder="1" applyAlignment="1">
      <alignment horizontal="center" vertical="center" wrapText="1"/>
    </xf>
    <xf numFmtId="0" fontId="21" fillId="9" borderId="36" xfId="2" applyFont="1" applyFill="1" applyBorder="1" applyAlignment="1">
      <alignment horizontal="center" vertical="center" wrapText="1"/>
    </xf>
    <xf numFmtId="0" fontId="21" fillId="9" borderId="38" xfId="2" applyFont="1" applyFill="1" applyBorder="1" applyAlignment="1">
      <alignment horizontal="center" vertical="center" wrapText="1"/>
    </xf>
    <xf numFmtId="0" fontId="25" fillId="10" borderId="39" xfId="2" applyFont="1" applyFill="1" applyBorder="1" applyAlignment="1">
      <alignment horizontal="center" vertical="center" wrapText="1"/>
    </xf>
    <xf numFmtId="0" fontId="25" fillId="10" borderId="34" xfId="2" applyFont="1" applyFill="1" applyBorder="1" applyAlignment="1">
      <alignment horizontal="center" vertical="center" wrapText="1"/>
    </xf>
    <xf numFmtId="0" fontId="25" fillId="10" borderId="40" xfId="2" applyFont="1" applyFill="1" applyBorder="1" applyAlignment="1">
      <alignment horizontal="center" vertical="center" wrapText="1"/>
    </xf>
    <xf numFmtId="0" fontId="25" fillId="10" borderId="35" xfId="2" applyFont="1" applyFill="1" applyBorder="1" applyAlignment="1">
      <alignment horizontal="center" vertical="center" wrapText="1"/>
    </xf>
    <xf numFmtId="0" fontId="0" fillId="0" borderId="0" xfId="0" applyAlignment="1">
      <alignment horizontal="center" vertical="center"/>
    </xf>
    <xf numFmtId="0" fontId="0" fillId="0" borderId="10" xfId="0" applyFill="1" applyBorder="1" applyAlignment="1">
      <alignment horizontal="left" vertical="top"/>
    </xf>
    <xf numFmtId="164" fontId="0" fillId="0" borderId="10" xfId="0" applyNumberFormat="1" applyFill="1" applyBorder="1" applyAlignment="1">
      <alignment horizontal="left" vertical="top"/>
    </xf>
    <xf numFmtId="0" fontId="0" fillId="0" borderId="10" xfId="0" applyFill="1" applyBorder="1" applyAlignment="1">
      <alignment horizontal="left" vertical="top" wrapText="1"/>
    </xf>
    <xf numFmtId="14" fontId="0" fillId="0" borderId="10" xfId="0" applyNumberFormat="1" applyFill="1" applyBorder="1" applyAlignment="1">
      <alignment horizontal="left" vertical="top" wrapText="1"/>
    </xf>
    <xf numFmtId="165" fontId="0" fillId="0" borderId="10" xfId="0" applyNumberFormat="1" applyFill="1" applyBorder="1" applyAlignment="1">
      <alignment horizontal="left" vertical="top"/>
    </xf>
    <xf numFmtId="15" fontId="0" fillId="0" borderId="10" xfId="0" applyNumberFormat="1" applyFill="1" applyBorder="1" applyAlignment="1">
      <alignment horizontal="left" vertical="top" wrapText="1"/>
    </xf>
    <xf numFmtId="0" fontId="0" fillId="0" borderId="0" xfId="0" applyFill="1" applyAlignment="1">
      <alignment horizontal="left" vertical="top"/>
    </xf>
    <xf numFmtId="0" fontId="0" fillId="0" borderId="10" xfId="0" quotePrefix="1" applyFill="1" applyBorder="1" applyAlignment="1">
      <alignment horizontal="left" vertical="top" wrapText="1"/>
    </xf>
    <xf numFmtId="0" fontId="11" fillId="0" borderId="10" xfId="0" applyFont="1" applyFill="1" applyBorder="1" applyAlignment="1">
      <alignment horizontal="left" vertical="top" wrapText="1"/>
    </xf>
    <xf numFmtId="0" fontId="11" fillId="0" borderId="10" xfId="0" applyFont="1" applyFill="1" applyBorder="1" applyAlignment="1">
      <alignment horizontal="left" vertical="top"/>
    </xf>
    <xf numFmtId="164" fontId="11" fillId="0" borderId="10" xfId="0" applyNumberFormat="1" applyFont="1" applyFill="1" applyBorder="1" applyAlignment="1">
      <alignment horizontal="left" vertical="top"/>
    </xf>
    <xf numFmtId="0" fontId="11" fillId="0" borderId="10" xfId="0" quotePrefix="1" applyFont="1" applyFill="1" applyBorder="1" applyAlignment="1">
      <alignment horizontal="left" vertical="top" wrapText="1"/>
    </xf>
    <xf numFmtId="14" fontId="11" fillId="0" borderId="10" xfId="0" applyNumberFormat="1" applyFont="1" applyFill="1" applyBorder="1" applyAlignment="1">
      <alignment horizontal="left" vertical="top" wrapText="1"/>
    </xf>
    <xf numFmtId="165" fontId="11" fillId="0" borderId="10" xfId="0" applyNumberFormat="1" applyFont="1" applyFill="1" applyBorder="1" applyAlignment="1">
      <alignment horizontal="left" vertical="top"/>
    </xf>
    <xf numFmtId="0" fontId="11" fillId="0" borderId="0" xfId="0" applyFont="1" applyFill="1" applyAlignment="1">
      <alignment horizontal="left" vertical="top"/>
    </xf>
    <xf numFmtId="0" fontId="11" fillId="0" borderId="10" xfId="0" quotePrefix="1" applyFont="1" applyBorder="1" applyAlignment="1">
      <alignment horizontal="left" vertical="top" wrapText="1"/>
    </xf>
    <xf numFmtId="0" fontId="11" fillId="0" borderId="10" xfId="0" applyFont="1" applyBorder="1" applyAlignment="1">
      <alignment horizontal="left" vertical="top" wrapText="1"/>
    </xf>
    <xf numFmtId="14" fontId="11" fillId="0" borderId="10" xfId="0" applyNumberFormat="1" applyFont="1" applyBorder="1" applyAlignment="1">
      <alignment horizontal="left" vertical="top" wrapText="1"/>
    </xf>
    <xf numFmtId="0" fontId="11" fillId="0" borderId="10" xfId="0" applyFont="1" applyBorder="1" applyAlignment="1">
      <alignment horizontal="left" vertical="top"/>
    </xf>
    <xf numFmtId="165" fontId="11" fillId="0" borderId="10" xfId="0" applyNumberFormat="1" applyFont="1" applyBorder="1" applyAlignment="1">
      <alignment horizontal="left" vertical="top"/>
    </xf>
    <xf numFmtId="0" fontId="11" fillId="0" borderId="0" xfId="0" applyFont="1" applyAlignment="1">
      <alignment horizontal="left" vertical="top"/>
    </xf>
    <xf numFmtId="0" fontId="11" fillId="0" borderId="10" xfId="0" quotePrefix="1" applyFont="1" applyFill="1" applyBorder="1" applyAlignment="1">
      <alignment horizontal="left" vertical="top"/>
    </xf>
    <xf numFmtId="0" fontId="27" fillId="0" borderId="0" xfId="0" applyFont="1" applyFill="1" applyAlignment="1">
      <alignment horizontal="left" vertical="top"/>
    </xf>
    <xf numFmtId="0" fontId="27" fillId="0" borderId="10" xfId="0" applyFont="1" applyFill="1" applyBorder="1" applyAlignment="1">
      <alignment horizontal="left" vertical="top" wrapText="1"/>
    </xf>
    <xf numFmtId="0" fontId="0" fillId="0" borderId="10" xfId="0" applyBorder="1" applyAlignment="1">
      <alignment horizontal="left" vertical="top"/>
    </xf>
    <xf numFmtId="164" fontId="0" fillId="0" borderId="10" xfId="0" applyNumberFormat="1" applyBorder="1" applyAlignment="1">
      <alignment horizontal="left" vertical="top"/>
    </xf>
    <xf numFmtId="0" fontId="0" fillId="0" borderId="10" xfId="0" applyBorder="1" applyAlignment="1">
      <alignment horizontal="left" vertical="top" wrapText="1"/>
    </xf>
    <xf numFmtId="165" fontId="0" fillId="0" borderId="10" xfId="0" applyNumberFormat="1" applyBorder="1" applyAlignment="1">
      <alignment horizontal="left" vertical="top"/>
    </xf>
    <xf numFmtId="0" fontId="0" fillId="0" borderId="0" xfId="0" applyAlignment="1">
      <alignment horizontal="left" vertical="top"/>
    </xf>
    <xf numFmtId="0" fontId="0" fillId="12" borderId="0" xfId="0" applyFill="1" applyAlignment="1">
      <alignment vertical="top"/>
    </xf>
    <xf numFmtId="164" fontId="0" fillId="12" borderId="0" xfId="0" applyNumberFormat="1" applyFill="1" applyAlignment="1">
      <alignment vertical="top"/>
    </xf>
    <xf numFmtId="0" fontId="0" fillId="12" borderId="0" xfId="0" applyFill="1" applyAlignment="1">
      <alignment vertical="top" wrapText="1"/>
    </xf>
    <xf numFmtId="0" fontId="0" fillId="12" borderId="0" xfId="0" applyFill="1" applyAlignment="1">
      <alignment horizontal="center" vertical="top"/>
    </xf>
    <xf numFmtId="165" fontId="0" fillId="12" borderId="0" xfId="0" applyNumberFormat="1" applyFill="1" applyAlignment="1">
      <alignment horizontal="center" vertical="top"/>
    </xf>
    <xf numFmtId="164" fontId="0" fillId="0" borderId="0" xfId="0" applyNumberFormat="1"/>
    <xf numFmtId="0" fontId="0" fillId="0" borderId="0" xfId="0" applyAlignment="1">
      <alignment wrapText="1"/>
    </xf>
    <xf numFmtId="0" fontId="0" fillId="0" borderId="0" xfId="0" applyAlignment="1">
      <alignment horizontal="center" vertical="top"/>
    </xf>
    <xf numFmtId="165" fontId="0" fillId="0" borderId="0" xfId="0" applyNumberFormat="1" applyAlignment="1">
      <alignment horizontal="center" vertical="top"/>
    </xf>
    <xf numFmtId="0" fontId="30" fillId="0" borderId="0" xfId="0" applyFont="1"/>
    <xf numFmtId="0" fontId="31" fillId="0" borderId="0" xfId="0" applyFont="1"/>
    <xf numFmtId="0" fontId="2" fillId="13" borderId="41" xfId="0" applyFont="1" applyFill="1" applyBorder="1" applyAlignment="1">
      <alignment vertical="center"/>
    </xf>
    <xf numFmtId="0" fontId="2" fillId="13" borderId="42" xfId="0" applyFont="1" applyFill="1" applyBorder="1" applyAlignment="1">
      <alignment vertical="center"/>
    </xf>
    <xf numFmtId="0" fontId="2" fillId="13" borderId="10" xfId="0" applyFont="1" applyFill="1" applyBorder="1" applyAlignment="1">
      <alignment horizontal="center" vertical="top" wrapText="1"/>
    </xf>
    <xf numFmtId="0" fontId="2" fillId="14" borderId="10" xfId="0" quotePrefix="1" applyFont="1" applyFill="1" applyBorder="1" applyAlignment="1">
      <alignment horizontal="center" vertical="center" wrapText="1"/>
    </xf>
    <xf numFmtId="0" fontId="2" fillId="14" borderId="10" xfId="0" applyFont="1" applyFill="1" applyBorder="1" applyAlignment="1">
      <alignment horizontal="center" vertical="center" wrapText="1"/>
    </xf>
    <xf numFmtId="0" fontId="0" fillId="0" borderId="0" xfId="0" applyAlignment="1">
      <alignment vertical="center"/>
    </xf>
    <xf numFmtId="2" fontId="2" fillId="13" borderId="10" xfId="0" applyNumberFormat="1" applyFont="1" applyFill="1" applyBorder="1" applyAlignment="1">
      <alignment horizontal="center" vertical="center"/>
    </xf>
    <xf numFmtId="0" fontId="2" fillId="13" borderId="41" xfId="0" quotePrefix="1" applyFont="1" applyFill="1" applyBorder="1" applyAlignment="1">
      <alignment vertical="center"/>
    </xf>
    <xf numFmtId="0" fontId="2" fillId="13" borderId="42" xfId="0" quotePrefix="1" applyFont="1" applyFill="1" applyBorder="1" applyAlignment="1">
      <alignment vertical="center"/>
    </xf>
    <xf numFmtId="0" fontId="3" fillId="0" borderId="0" xfId="0" applyFont="1" applyFill="1"/>
    <xf numFmtId="0" fontId="0" fillId="0" borderId="0" xfId="0" applyFill="1" applyAlignment="1">
      <alignment horizontal="center"/>
    </xf>
    <xf numFmtId="0" fontId="2" fillId="13" borderId="10" xfId="0" quotePrefix="1" applyFont="1" applyFill="1" applyBorder="1" applyAlignment="1">
      <alignment horizontal="left" vertical="top"/>
    </xf>
    <xf numFmtId="0" fontId="0" fillId="0" borderId="10" xfId="0" applyBorder="1"/>
    <xf numFmtId="2" fontId="2" fillId="13" borderId="10" xfId="0" quotePrefix="1" applyNumberFormat="1" applyFont="1" applyFill="1" applyBorder="1" applyAlignment="1">
      <alignment horizontal="center" vertical="top"/>
    </xf>
    <xf numFmtId="0" fontId="0" fillId="0" borderId="10" xfId="0" quotePrefix="1" applyBorder="1" applyAlignment="1">
      <alignment horizontal="center" wrapText="1"/>
    </xf>
    <xf numFmtId="0" fontId="2" fillId="0" borderId="0" xfId="0" applyFont="1" applyAlignment="1">
      <alignment vertical="center"/>
    </xf>
    <xf numFmtId="0" fontId="0" fillId="0" borderId="0" xfId="0" quotePrefix="1" applyAlignment="1">
      <alignment horizontal="left"/>
    </xf>
    <xf numFmtId="0" fontId="2" fillId="0" borderId="0" xfId="0" applyFont="1" applyAlignment="1">
      <alignment horizontal="right"/>
    </xf>
    <xf numFmtId="2" fontId="2" fillId="13" borderId="10" xfId="0" quotePrefix="1" applyNumberFormat="1" applyFont="1" applyFill="1" applyBorder="1" applyAlignment="1">
      <alignment horizontal="right" vertical="top"/>
    </xf>
    <xf numFmtId="166" fontId="11" fillId="3" borderId="10" xfId="0" applyNumberFormat="1" applyFont="1" applyFill="1" applyBorder="1" applyAlignment="1">
      <alignment horizontal="center"/>
    </xf>
    <xf numFmtId="166" fontId="0" fillId="4" borderId="10" xfId="0" applyNumberFormat="1" applyFill="1" applyBorder="1" applyAlignment="1">
      <alignment horizontal="center"/>
    </xf>
    <xf numFmtId="166" fontId="0" fillId="3" borderId="10" xfId="0" applyNumberFormat="1" applyFill="1" applyBorder="1" applyAlignment="1">
      <alignment horizontal="center"/>
    </xf>
    <xf numFmtId="166" fontId="11" fillId="5" borderId="10" xfId="0" applyNumberFormat="1" applyFont="1" applyFill="1" applyBorder="1" applyAlignment="1">
      <alignment horizontal="center"/>
    </xf>
    <xf numFmtId="166" fontId="0" fillId="5" borderId="10" xfId="0" applyNumberFormat="1" applyFill="1" applyBorder="1" applyAlignment="1">
      <alignment horizontal="center"/>
    </xf>
    <xf numFmtId="0" fontId="0" fillId="0" borderId="0" xfId="0" applyBorder="1"/>
    <xf numFmtId="0" fontId="21" fillId="2" borderId="43" xfId="2" applyFont="1" applyFill="1" applyBorder="1"/>
    <xf numFmtId="0" fontId="21" fillId="5" borderId="43" xfId="2" applyFont="1" applyFill="1" applyBorder="1"/>
    <xf numFmtId="0" fontId="8" fillId="0" borderId="0" xfId="2" applyBorder="1"/>
    <xf numFmtId="0" fontId="21" fillId="9" borderId="43" xfId="1" applyFont="1" applyFill="1" applyBorder="1"/>
    <xf numFmtId="0" fontId="25" fillId="10" borderId="43" xfId="1" applyFont="1" applyFill="1" applyBorder="1"/>
    <xf numFmtId="0" fontId="0" fillId="0" borderId="34" xfId="0" applyBorder="1"/>
    <xf numFmtId="0" fontId="8" fillId="0" borderId="34" xfId="2" applyBorder="1"/>
    <xf numFmtId="0" fontId="8" fillId="0" borderId="34" xfId="2" applyFont="1" applyBorder="1"/>
    <xf numFmtId="0" fontId="21" fillId="8" borderId="29" xfId="2" applyFont="1" applyFill="1" applyBorder="1"/>
    <xf numFmtId="0" fontId="8" fillId="8" borderId="31" xfId="2" applyFill="1" applyBorder="1"/>
    <xf numFmtId="2" fontId="8" fillId="0" borderId="0" xfId="2" applyNumberFormat="1" applyBorder="1"/>
    <xf numFmtId="0" fontId="8" fillId="0" borderId="34" xfId="1" applyBorder="1"/>
    <xf numFmtId="0" fontId="8" fillId="0" borderId="40" xfId="2" quotePrefix="1" applyFont="1" applyBorder="1" applyAlignment="1">
      <alignment horizontal="left"/>
    </xf>
    <xf numFmtId="2" fontId="8" fillId="0" borderId="23" xfId="2" applyNumberFormat="1" applyBorder="1"/>
    <xf numFmtId="0" fontId="8" fillId="0" borderId="40" xfId="2" applyFont="1" applyBorder="1"/>
    <xf numFmtId="0" fontId="8" fillId="0" borderId="34" xfId="1" applyFont="1" applyBorder="1"/>
    <xf numFmtId="0" fontId="0" fillId="0" borderId="8" xfId="0" applyBorder="1"/>
    <xf numFmtId="0" fontId="8" fillId="0" borderId="44" xfId="2" applyFont="1" applyBorder="1"/>
    <xf numFmtId="2" fontId="8" fillId="0" borderId="45" xfId="2" applyNumberFormat="1" applyBorder="1"/>
    <xf numFmtId="0" fontId="8" fillId="0" borderId="34" xfId="1" applyFill="1" applyBorder="1"/>
    <xf numFmtId="0" fontId="8" fillId="0" borderId="8" xfId="2" applyBorder="1"/>
    <xf numFmtId="0" fontId="8" fillId="0" borderId="40" xfId="2" applyFont="1" applyFill="1" applyBorder="1"/>
    <xf numFmtId="2" fontId="8" fillId="0" borderId="23" xfId="2" applyNumberFormat="1" applyFill="1" applyBorder="1"/>
    <xf numFmtId="0" fontId="8" fillId="0" borderId="44" xfId="2" applyFont="1" applyFill="1" applyBorder="1"/>
    <xf numFmtId="2" fontId="8" fillId="0" borderId="45" xfId="2" applyNumberFormat="1" applyFill="1" applyBorder="1"/>
    <xf numFmtId="0" fontId="8" fillId="0" borderId="0" xfId="2" applyFont="1" applyFill="1" applyBorder="1"/>
    <xf numFmtId="2" fontId="8" fillId="0" borderId="0" xfId="2" applyNumberFormat="1" applyFill="1" applyBorder="1"/>
    <xf numFmtId="0" fontId="7" fillId="0" borderId="0" xfId="0" applyFont="1" applyBorder="1"/>
    <xf numFmtId="0" fontId="33" fillId="0" borderId="0" xfId="1" applyFont="1" applyFill="1" applyBorder="1"/>
    <xf numFmtId="0" fontId="21" fillId="8" borderId="29" xfId="1" applyFont="1" applyFill="1" applyBorder="1"/>
    <xf numFmtId="0" fontId="8" fillId="8" borderId="30" xfId="1" applyFill="1" applyBorder="1"/>
    <xf numFmtId="0" fontId="8" fillId="8" borderId="31" xfId="1" applyFill="1" applyBorder="1"/>
    <xf numFmtId="0" fontId="25" fillId="6" borderId="40" xfId="1" applyFont="1" applyFill="1" applyBorder="1"/>
    <xf numFmtId="0" fontId="21" fillId="6" borderId="0" xfId="1" applyFont="1" applyFill="1" applyBorder="1"/>
    <xf numFmtId="4" fontId="21" fillId="0" borderId="10" xfId="1" applyNumberFormat="1" applyFont="1" applyBorder="1"/>
    <xf numFmtId="0" fontId="1" fillId="4" borderId="10" xfId="0" applyFont="1" applyFill="1" applyBorder="1"/>
    <xf numFmtId="0" fontId="21" fillId="3" borderId="40" xfId="1" applyFont="1" applyFill="1" applyBorder="1"/>
    <xf numFmtId="0" fontId="21" fillId="3" borderId="0" xfId="1" applyFont="1" applyFill="1" applyBorder="1"/>
    <xf numFmtId="0" fontId="10" fillId="3" borderId="10" xfId="0" applyFont="1" applyFill="1" applyBorder="1"/>
    <xf numFmtId="0" fontId="1" fillId="6" borderId="10" xfId="0" applyFont="1" applyFill="1" applyBorder="1"/>
    <xf numFmtId="0" fontId="25" fillId="4" borderId="44" xfId="1" applyFont="1" applyFill="1" applyBorder="1"/>
    <xf numFmtId="0" fontId="25" fillId="4" borderId="46" xfId="1" applyFont="1" applyFill="1" applyBorder="1"/>
    <xf numFmtId="4" fontId="21" fillId="0" borderId="10" xfId="1" applyNumberFormat="1" applyFont="1" applyFill="1" applyBorder="1"/>
    <xf numFmtId="0" fontId="2" fillId="8" borderId="43" xfId="0" applyFont="1" applyFill="1" applyBorder="1"/>
    <xf numFmtId="49" fontId="5" fillId="0" borderId="0" xfId="0" applyNumberFormat="1" applyFont="1"/>
    <xf numFmtId="0" fontId="5" fillId="0" borderId="0" xfId="0" applyFont="1" applyAlignment="1"/>
    <xf numFmtId="0" fontId="0" fillId="0" borderId="0" xfId="0" applyAlignment="1"/>
    <xf numFmtId="0" fontId="2" fillId="11" borderId="1" xfId="0" applyFont="1" applyFill="1" applyBorder="1" applyAlignment="1">
      <alignment horizontal="right" wrapText="1"/>
    </xf>
    <xf numFmtId="0" fontId="0" fillId="11" borderId="3" xfId="0" applyFill="1" applyBorder="1" applyAlignment="1">
      <alignment horizontal="right"/>
    </xf>
    <xf numFmtId="0" fontId="0" fillId="11" borderId="2" xfId="0" applyFill="1" applyBorder="1" applyAlignment="1">
      <alignment horizontal="right"/>
    </xf>
  </cellXfs>
  <cellStyles count="3">
    <cellStyle name="Normal" xfId="0" builtinId="0"/>
    <cellStyle name="Normal 2" xfId="2" xr:uid="{00000000-0005-0000-0000-000001000000}"/>
    <cellStyle name="Normal 3" xfId="1" xr:uid="{00000000-0005-0000-0000-000002000000}"/>
  </cellStyles>
  <dxfs count="289">
    <dxf>
      <font>
        <b/>
        <i val="0"/>
        <color auto="1"/>
      </font>
      <fill>
        <patternFill>
          <bgColor rgb="FFFFFF00"/>
        </patternFill>
      </fill>
    </dxf>
    <dxf>
      <font>
        <b/>
        <i val="0"/>
        <color theme="0"/>
      </font>
      <fill>
        <patternFill>
          <bgColor rgb="FF00B050"/>
        </patternFill>
      </fill>
    </dxf>
    <dxf>
      <font>
        <b/>
        <i val="0"/>
        <color auto="1"/>
      </font>
      <fill>
        <patternFill>
          <bgColor rgb="FFFFFF00"/>
        </patternFill>
      </fill>
    </dxf>
    <dxf>
      <font>
        <b/>
        <i val="0"/>
        <color auto="1"/>
      </font>
      <fill>
        <patternFill>
          <bgColor rgb="FFFFFF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font>
      <fill>
        <patternFill>
          <bgColor rgb="FFFFFF00"/>
        </patternFill>
      </fill>
    </dxf>
    <dxf>
      <font>
        <b/>
        <i val="0"/>
        <color theme="0"/>
      </font>
      <fill>
        <patternFill>
          <bgColor rgb="FF00B050"/>
        </patternFill>
      </fill>
    </dxf>
    <dxf>
      <font>
        <b/>
        <i val="0"/>
        <color theme="0"/>
      </font>
      <fill>
        <patternFill>
          <bgColor rgb="FFFF0000"/>
        </patternFill>
      </fill>
    </dxf>
    <dxf>
      <font>
        <color auto="1"/>
      </font>
      <fill>
        <patternFill patternType="none">
          <bgColor auto="1"/>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color auto="1"/>
      </font>
      <fill>
        <patternFill patternType="none">
          <bgColor auto="1"/>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9</xdr:col>
      <xdr:colOff>121920</xdr:colOff>
      <xdr:row>15</xdr:row>
      <xdr:rowOff>137160</xdr:rowOff>
    </xdr:from>
    <xdr:to>
      <xdr:col>9</xdr:col>
      <xdr:colOff>354530</xdr:colOff>
      <xdr:row>18</xdr:row>
      <xdr:rowOff>91073</xdr:rowOff>
    </xdr:to>
    <xdr:sp macro="" textlink="">
      <xdr:nvSpPr>
        <xdr:cNvPr id="2" name="Down Arrow 1" title="UP Arrow">
          <a:extLst>
            <a:ext uri="{FF2B5EF4-FFF2-40B4-BE49-F238E27FC236}">
              <a16:creationId xmlns:a16="http://schemas.microsoft.com/office/drawing/2014/main" id="{00000000-0008-0000-0000-000002000000}"/>
            </a:ext>
          </a:extLst>
        </xdr:cNvPr>
        <xdr:cNvSpPr/>
      </xdr:nvSpPr>
      <xdr:spPr>
        <a:xfrm rot="10800000">
          <a:off x="6827520" y="3699510"/>
          <a:ext cx="232610" cy="544463"/>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12</xdr:col>
      <xdr:colOff>40289</xdr:colOff>
      <xdr:row>20</xdr:row>
      <xdr:rowOff>157831</xdr:rowOff>
    </xdr:from>
    <xdr:to>
      <xdr:col>13</xdr:col>
      <xdr:colOff>17062</xdr:colOff>
      <xdr:row>22</xdr:row>
      <xdr:rowOff>24681</xdr:rowOff>
    </xdr:to>
    <xdr:sp macro="" textlink="">
      <xdr:nvSpPr>
        <xdr:cNvPr id="3" name="Down Arrow 2" title="Arrow going to the right">
          <a:extLst>
            <a:ext uri="{FF2B5EF4-FFF2-40B4-BE49-F238E27FC236}">
              <a16:creationId xmlns:a16="http://schemas.microsoft.com/office/drawing/2014/main" id="{00000000-0008-0000-0000-000003000000}"/>
            </a:ext>
          </a:extLst>
        </xdr:cNvPr>
        <xdr:cNvSpPr/>
      </xdr:nvSpPr>
      <xdr:spPr>
        <a:xfrm rot="16200000">
          <a:off x="8596313" y="4574857"/>
          <a:ext cx="247850" cy="50064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593112</xdr:colOff>
      <xdr:row>28</xdr:row>
      <xdr:rowOff>0</xdr:rowOff>
    </xdr:from>
    <xdr:to>
      <xdr:col>2</xdr:col>
      <xdr:colOff>192300</xdr:colOff>
      <xdr:row>29</xdr:row>
      <xdr:rowOff>76200</xdr:rowOff>
    </xdr:to>
    <xdr:sp macro="" textlink="">
      <xdr:nvSpPr>
        <xdr:cNvPr id="2" name="Right Arrow 1" title="Arrow pointing to Impact">
          <a:extLst>
            <a:ext uri="{FF2B5EF4-FFF2-40B4-BE49-F238E27FC236}">
              <a16:creationId xmlns:a16="http://schemas.microsoft.com/office/drawing/2014/main" id="{00000000-0008-0000-0300-000002000000}"/>
            </a:ext>
          </a:extLst>
        </xdr:cNvPr>
        <xdr:cNvSpPr/>
      </xdr:nvSpPr>
      <xdr:spPr>
        <a:xfrm>
          <a:off x="1031262" y="9801225"/>
          <a:ext cx="51358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1</xdr:col>
      <xdr:colOff>266700</xdr:colOff>
      <xdr:row>23</xdr:row>
      <xdr:rowOff>114300</xdr:rowOff>
    </xdr:from>
    <xdr:to>
      <xdr:col>1</xdr:col>
      <xdr:colOff>499310</xdr:colOff>
      <xdr:row>26</xdr:row>
      <xdr:rowOff>83453</xdr:rowOff>
    </xdr:to>
    <xdr:sp macro="" textlink="">
      <xdr:nvSpPr>
        <xdr:cNvPr id="3" name="Down Arrow 2" title="Arrow UP">
          <a:extLst>
            <a:ext uri="{FF2B5EF4-FFF2-40B4-BE49-F238E27FC236}">
              <a16:creationId xmlns:a16="http://schemas.microsoft.com/office/drawing/2014/main" id="{00000000-0008-0000-0300-000003000000}"/>
            </a:ext>
          </a:extLst>
        </xdr:cNvPr>
        <xdr:cNvSpPr/>
      </xdr:nvSpPr>
      <xdr:spPr>
        <a:xfrm rot="10800000">
          <a:off x="704850" y="8963025"/>
          <a:ext cx="232610" cy="540653"/>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Q26"/>
  <sheetViews>
    <sheetView showGridLines="0" tabSelected="1" workbookViewId="0">
      <selection activeCell="G25" sqref="G25"/>
    </sheetView>
  </sheetViews>
  <sheetFormatPr defaultRowHeight="15" x14ac:dyDescent="0.25"/>
  <cols>
    <col min="1" max="1" width="6.85546875" customWidth="1"/>
    <col min="2" max="2" width="32.7109375" customWidth="1"/>
    <col min="5" max="5" width="5.7109375" bestFit="1" customWidth="1"/>
    <col min="6" max="7" width="10.7109375" bestFit="1" customWidth="1"/>
    <col min="8" max="8" width="12" bestFit="1" customWidth="1"/>
    <col min="9" max="9" width="3.5703125" customWidth="1"/>
    <col min="10" max="10" width="10.140625" bestFit="1" customWidth="1"/>
    <col min="11" max="15" width="7.85546875" customWidth="1"/>
  </cols>
  <sheetData>
    <row r="1" spans="1:17" ht="18.75" x14ac:dyDescent="0.3">
      <c r="A1" s="1" t="s">
        <v>0</v>
      </c>
    </row>
    <row r="3" spans="1:17" ht="21" x14ac:dyDescent="0.35">
      <c r="B3" s="2" t="s">
        <v>1</v>
      </c>
      <c r="C3" s="2" t="str">
        <f>'Risk Register Tool'!C1</f>
        <v>Insert Project Name</v>
      </c>
      <c r="D3" s="3"/>
    </row>
    <row r="4" spans="1:17" ht="21" x14ac:dyDescent="0.35">
      <c r="C4" s="2"/>
      <c r="D4" s="3"/>
    </row>
    <row r="5" spans="1:17" ht="21" x14ac:dyDescent="0.35">
      <c r="C5" s="2"/>
      <c r="D5" s="3"/>
    </row>
    <row r="6" spans="1:17" ht="21" x14ac:dyDescent="0.35">
      <c r="C6" s="2"/>
      <c r="D6" s="3"/>
    </row>
    <row r="7" spans="1:17" ht="21" x14ac:dyDescent="0.35">
      <c r="C7" s="2"/>
      <c r="D7" s="3"/>
    </row>
    <row r="8" spans="1:17" ht="21" x14ac:dyDescent="0.35">
      <c r="C8" s="2"/>
      <c r="D8" s="3"/>
    </row>
    <row r="9" spans="1:17" ht="21" x14ac:dyDescent="0.35">
      <c r="B9" s="2" t="s">
        <v>226</v>
      </c>
      <c r="C9" s="239" t="s">
        <v>6</v>
      </c>
      <c r="D9" s="3"/>
    </row>
    <row r="10" spans="1:17" ht="21" x14ac:dyDescent="0.35">
      <c r="B10" s="2" t="s">
        <v>2</v>
      </c>
      <c r="C10" s="2" t="str">
        <f>'Risk Register Tool'!I1</f>
        <v>Insert Project Manager Name(s)</v>
      </c>
      <c r="D10" s="3"/>
    </row>
    <row r="11" spans="1:17" ht="21" x14ac:dyDescent="0.35">
      <c r="B11" s="2" t="s">
        <v>3</v>
      </c>
      <c r="C11" s="240" t="s">
        <v>227</v>
      </c>
      <c r="D11" s="241"/>
      <c r="E11" s="241"/>
      <c r="F11" s="241"/>
      <c r="G11" s="241"/>
    </row>
    <row r="12" spans="1:17" ht="21" x14ac:dyDescent="0.35">
      <c r="B12" s="2" t="s">
        <v>4</v>
      </c>
      <c r="C12" s="2" t="s">
        <v>5</v>
      </c>
      <c r="D12" s="3"/>
      <c r="L12" s="1"/>
    </row>
    <row r="13" spans="1:17" ht="21" x14ac:dyDescent="0.35">
      <c r="B13" s="2" t="s">
        <v>6</v>
      </c>
      <c r="C13" s="2"/>
      <c r="D13" s="3"/>
      <c r="L13" s="1"/>
    </row>
    <row r="14" spans="1:17" ht="21" x14ac:dyDescent="0.35">
      <c r="B14" s="2"/>
      <c r="C14" s="2"/>
      <c r="D14" s="3"/>
      <c r="L14" s="1" t="s">
        <v>7</v>
      </c>
    </row>
    <row r="15" spans="1:17" ht="15.75" thickBot="1" x14ac:dyDescent="0.3">
      <c r="B15" s="4" t="s">
        <v>8</v>
      </c>
      <c r="E15" s="4" t="s">
        <v>8</v>
      </c>
      <c r="J15" s="5" t="s">
        <v>9</v>
      </c>
      <c r="K15" s="6"/>
      <c r="L15" s="6"/>
      <c r="M15" s="6"/>
      <c r="N15" s="6"/>
      <c r="O15" s="6"/>
      <c r="P15" s="6"/>
      <c r="Q15" s="6"/>
    </row>
    <row r="16" spans="1:17" ht="15.75" thickBot="1" x14ac:dyDescent="0.3">
      <c r="B16" s="7" t="s">
        <v>10</v>
      </c>
      <c r="C16" s="8"/>
      <c r="E16" s="9" t="s">
        <v>11</v>
      </c>
      <c r="F16" s="10"/>
      <c r="G16" s="10"/>
      <c r="H16" s="11"/>
      <c r="J16" s="12">
        <v>0.9</v>
      </c>
      <c r="K16" s="13">
        <v>4.5000000000000005E-2</v>
      </c>
      <c r="L16" s="14">
        <v>9.0000000000000011E-2</v>
      </c>
      <c r="M16" s="14">
        <v>0.18000000000000002</v>
      </c>
      <c r="N16" s="14">
        <v>0.36000000000000004</v>
      </c>
      <c r="O16" s="15">
        <v>0.72000000000000008</v>
      </c>
      <c r="P16" s="16"/>
      <c r="Q16" s="6"/>
    </row>
    <row r="17" spans="2:17" ht="15.75" thickBot="1" x14ac:dyDescent="0.3">
      <c r="B17" s="17" t="s">
        <v>12</v>
      </c>
      <c r="C17" s="18" t="s">
        <v>13</v>
      </c>
      <c r="E17" s="19" t="s">
        <v>14</v>
      </c>
      <c r="F17" s="19" t="s">
        <v>15</v>
      </c>
      <c r="G17" s="19" t="s">
        <v>16</v>
      </c>
      <c r="H17" s="19" t="s">
        <v>17</v>
      </c>
      <c r="J17" s="12">
        <v>0.7</v>
      </c>
      <c r="K17" s="20">
        <v>3.4999999999999996E-2</v>
      </c>
      <c r="L17" s="21">
        <v>6.9999999999999993E-2</v>
      </c>
      <c r="M17" s="21">
        <v>0.13999999999999999</v>
      </c>
      <c r="N17" s="22">
        <v>0.27999999999999997</v>
      </c>
      <c r="O17" s="23">
        <v>0.55999999999999994</v>
      </c>
      <c r="P17" s="16"/>
      <c r="Q17" s="6"/>
    </row>
    <row r="18" spans="2:17" x14ac:dyDescent="0.25">
      <c r="B18" s="24" t="s">
        <v>18</v>
      </c>
      <c r="C18" s="25">
        <f>'Source Data Tables'!N22</f>
        <v>0</v>
      </c>
      <c r="E18" s="25" t="s">
        <v>19</v>
      </c>
      <c r="F18" s="25" t="s">
        <v>6</v>
      </c>
      <c r="G18" s="25" t="s">
        <v>6</v>
      </c>
      <c r="H18" s="25" t="s">
        <v>6</v>
      </c>
      <c r="J18" s="12">
        <v>0.5</v>
      </c>
      <c r="K18" s="26">
        <v>2.5000000000000001E-2</v>
      </c>
      <c r="L18" s="27">
        <v>0.05</v>
      </c>
      <c r="M18" s="21">
        <v>0.1</v>
      </c>
      <c r="N18" s="28">
        <v>0.2</v>
      </c>
      <c r="O18" s="23">
        <v>0.4</v>
      </c>
      <c r="P18" s="29"/>
      <c r="Q18" s="6"/>
    </row>
    <row r="19" spans="2:17" x14ac:dyDescent="0.25">
      <c r="B19" s="30" t="s">
        <v>20</v>
      </c>
      <c r="C19" s="25">
        <f>'Source Data Tables'!N23</f>
        <v>0</v>
      </c>
      <c r="E19" s="25" t="s">
        <v>21</v>
      </c>
      <c r="F19" s="25"/>
      <c r="G19" s="25"/>
      <c r="H19" s="25"/>
      <c r="J19" s="12">
        <v>0.3</v>
      </c>
      <c r="K19" s="26">
        <v>1.4999999999999999E-2</v>
      </c>
      <c r="L19" s="27">
        <v>0.03</v>
      </c>
      <c r="M19" s="27">
        <v>0.06</v>
      </c>
      <c r="N19" s="21">
        <v>0.12</v>
      </c>
      <c r="O19" s="23">
        <v>0.24</v>
      </c>
      <c r="P19" s="29"/>
      <c r="Q19" s="6"/>
    </row>
    <row r="20" spans="2:17" ht="15.75" thickBot="1" x14ac:dyDescent="0.3">
      <c r="B20" s="31" t="s">
        <v>22</v>
      </c>
      <c r="C20" s="25">
        <f>'Source Data Tables'!N24</f>
        <v>0</v>
      </c>
      <c r="E20" s="25" t="s">
        <v>23</v>
      </c>
      <c r="F20" s="25"/>
      <c r="G20" s="25"/>
      <c r="H20" s="25"/>
      <c r="J20" s="12">
        <v>0.1</v>
      </c>
      <c r="K20" s="32">
        <v>5.000000000000001E-3</v>
      </c>
      <c r="L20" s="33">
        <v>1.0000000000000002E-2</v>
      </c>
      <c r="M20" s="33">
        <v>2.0000000000000004E-2</v>
      </c>
      <c r="N20" s="34">
        <v>4.0000000000000008E-2</v>
      </c>
      <c r="O20" s="35">
        <v>8.0000000000000016E-2</v>
      </c>
      <c r="P20" s="29"/>
      <c r="Q20" s="6"/>
    </row>
    <row r="21" spans="2:17" x14ac:dyDescent="0.25">
      <c r="B21" s="36" t="s">
        <v>24</v>
      </c>
      <c r="C21" s="25">
        <f>'Source Data Tables'!N25</f>
        <v>0</v>
      </c>
      <c r="E21" s="25" t="s">
        <v>25</v>
      </c>
      <c r="F21" s="25"/>
      <c r="G21" s="25"/>
      <c r="H21" s="25"/>
      <c r="K21" s="37">
        <v>0.05</v>
      </c>
      <c r="L21" s="38">
        <v>0.1</v>
      </c>
      <c r="M21" s="38">
        <v>0.2</v>
      </c>
      <c r="N21" s="38">
        <v>0.4</v>
      </c>
      <c r="O21" s="38">
        <v>0.8</v>
      </c>
      <c r="P21" s="39"/>
      <c r="Q21" s="6"/>
    </row>
    <row r="22" spans="2:17" x14ac:dyDescent="0.25">
      <c r="E22" s="25" t="s">
        <v>26</v>
      </c>
      <c r="F22" s="25"/>
      <c r="G22" s="25"/>
      <c r="H22" s="25"/>
      <c r="K22" s="5" t="s">
        <v>27</v>
      </c>
      <c r="L22" s="5"/>
      <c r="M22" s="6"/>
      <c r="N22" s="6"/>
      <c r="O22" s="6"/>
      <c r="P22" s="6"/>
      <c r="Q22" s="6"/>
    </row>
    <row r="23" spans="2:17" x14ac:dyDescent="0.25">
      <c r="J23" s="40"/>
      <c r="K23" s="40"/>
      <c r="L23" s="40"/>
      <c r="M23" s="40"/>
      <c r="N23" s="40"/>
      <c r="O23" s="40"/>
      <c r="P23" s="40"/>
      <c r="Q23" s="40"/>
    </row>
    <row r="24" spans="2:17" ht="52.9" customHeight="1" x14ac:dyDescent="0.25">
      <c r="B24" s="41" t="s">
        <v>28</v>
      </c>
      <c r="C24" s="42"/>
    </row>
    <row r="25" spans="2:17" ht="66" customHeight="1" x14ac:dyDescent="0.25">
      <c r="B25" s="41" t="s">
        <v>29</v>
      </c>
      <c r="C25" s="42"/>
    </row>
    <row r="26" spans="2:17" ht="39" customHeight="1" x14ac:dyDescent="0.25">
      <c r="B26" s="41" t="s">
        <v>30</v>
      </c>
      <c r="C26" s="42"/>
    </row>
  </sheetData>
  <mergeCells count="1">
    <mergeCell ref="C11:G11"/>
  </mergeCells>
  <pageMargins left="9.6150481189851266E-3"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M37"/>
  <sheetViews>
    <sheetView topLeftCell="A16" zoomScale="73" zoomScaleNormal="73" workbookViewId="0">
      <selection activeCell="C2" sqref="C2"/>
    </sheetView>
  </sheetViews>
  <sheetFormatPr defaultColWidth="16.85546875" defaultRowHeight="15" x14ac:dyDescent="0.25"/>
  <cols>
    <col min="1" max="1" width="18.85546875" style="88" customWidth="1"/>
    <col min="2" max="2" width="19.7109375" style="70" customWidth="1"/>
    <col min="3" max="3" width="156.28515625" style="61" customWidth="1"/>
    <col min="4" max="11" width="13" style="61" customWidth="1"/>
    <col min="12" max="12" width="15.5703125" style="61" customWidth="1"/>
    <col min="13" max="16384" width="16.85546875" style="61"/>
  </cols>
  <sheetData>
    <row r="1" spans="1:13" s="48" customFormat="1" ht="21.75" thickBot="1" x14ac:dyDescent="0.3">
      <c r="A1" s="43" t="s">
        <v>31</v>
      </c>
      <c r="B1" s="44"/>
      <c r="C1" s="45"/>
      <c r="D1" s="46"/>
      <c r="E1" s="46"/>
      <c r="F1" s="46"/>
      <c r="G1" s="46"/>
      <c r="H1" s="46"/>
      <c r="I1" s="46"/>
      <c r="J1" s="46"/>
      <c r="K1" s="46"/>
      <c r="L1" s="46"/>
      <c r="M1" s="47"/>
    </row>
    <row r="2" spans="1:13" s="52" customFormat="1" x14ac:dyDescent="0.25">
      <c r="A2" s="49" t="s">
        <v>32</v>
      </c>
      <c r="B2" s="50" t="s">
        <v>3</v>
      </c>
      <c r="C2" s="51" t="s">
        <v>228</v>
      </c>
    </row>
    <row r="3" spans="1:13" s="52" customFormat="1" ht="24.75" thickBot="1" x14ac:dyDescent="0.3">
      <c r="A3" s="53"/>
      <c r="B3" s="54" t="s">
        <v>2</v>
      </c>
      <c r="C3" s="55" t="s">
        <v>33</v>
      </c>
    </row>
    <row r="4" spans="1:13" ht="24" x14ac:dyDescent="0.25">
      <c r="A4" s="56" t="s">
        <v>34</v>
      </c>
      <c r="B4" s="57" t="s">
        <v>15</v>
      </c>
      <c r="C4" s="58" t="s">
        <v>35</v>
      </c>
      <c r="D4" s="52"/>
      <c r="E4" s="52"/>
      <c r="F4" s="52"/>
      <c r="G4" s="52"/>
      <c r="H4" s="52"/>
      <c r="I4" s="52"/>
      <c r="J4" s="52"/>
      <c r="K4" s="52"/>
      <c r="L4" s="59"/>
      <c r="M4" s="60"/>
    </row>
    <row r="5" spans="1:13" x14ac:dyDescent="0.25">
      <c r="A5" s="62"/>
      <c r="B5" s="63" t="s">
        <v>36</v>
      </c>
      <c r="C5" s="64" t="s">
        <v>37</v>
      </c>
      <c r="D5" s="65"/>
      <c r="E5" s="65"/>
      <c r="F5" s="65"/>
      <c r="G5" s="65"/>
      <c r="H5" s="65"/>
      <c r="I5" s="65"/>
      <c r="J5" s="65"/>
      <c r="K5" s="65"/>
      <c r="L5" s="66"/>
      <c r="M5" s="60"/>
    </row>
    <row r="6" spans="1:13" x14ac:dyDescent="0.25">
      <c r="A6" s="62"/>
      <c r="B6" s="63" t="s">
        <v>38</v>
      </c>
      <c r="C6" s="64" t="s">
        <v>39</v>
      </c>
      <c r="D6" s="65"/>
      <c r="E6" s="65"/>
      <c r="F6" s="65"/>
      <c r="G6" s="65"/>
      <c r="H6" s="65"/>
      <c r="I6" s="65"/>
      <c r="J6" s="65"/>
      <c r="K6" s="65"/>
      <c r="L6" s="66"/>
      <c r="M6" s="60"/>
    </row>
    <row r="7" spans="1:13" x14ac:dyDescent="0.25">
      <c r="A7" s="62"/>
      <c r="B7" s="63" t="s">
        <v>40</v>
      </c>
      <c r="C7" s="51" t="s">
        <v>41</v>
      </c>
      <c r="D7" s="52"/>
      <c r="E7" s="52"/>
      <c r="F7" s="52"/>
      <c r="G7" s="52"/>
      <c r="H7" s="52"/>
      <c r="I7" s="52"/>
      <c r="J7" s="52"/>
      <c r="K7" s="52"/>
      <c r="L7" s="59"/>
      <c r="M7" s="60"/>
    </row>
    <row r="8" spans="1:13" x14ac:dyDescent="0.25">
      <c r="A8" s="62"/>
      <c r="B8" s="63" t="s">
        <v>42</v>
      </c>
      <c r="C8" s="51" t="s">
        <v>43</v>
      </c>
      <c r="D8" s="52"/>
      <c r="E8" s="52"/>
      <c r="F8" s="52"/>
      <c r="G8" s="52"/>
      <c r="H8" s="52"/>
      <c r="I8" s="52"/>
      <c r="J8" s="52"/>
      <c r="K8" s="52"/>
      <c r="L8" s="59"/>
      <c r="M8" s="60"/>
    </row>
    <row r="9" spans="1:13" ht="15.75" thickBot="1" x14ac:dyDescent="0.3">
      <c r="A9" s="62"/>
      <c r="B9" s="63" t="s">
        <v>44</v>
      </c>
      <c r="C9" s="64" t="s">
        <v>45</v>
      </c>
      <c r="D9" s="65"/>
      <c r="E9" s="65"/>
      <c r="F9" s="65"/>
      <c r="G9" s="65"/>
      <c r="H9" s="65"/>
      <c r="I9" s="65"/>
      <c r="J9" s="65"/>
      <c r="K9" s="65"/>
      <c r="L9" s="66"/>
      <c r="M9" s="60"/>
    </row>
    <row r="10" spans="1:13" ht="14.45" customHeight="1" x14ac:dyDescent="0.25">
      <c r="A10" s="62"/>
      <c r="B10" s="67" t="s">
        <v>46</v>
      </c>
      <c r="C10" s="68" t="s">
        <v>47</v>
      </c>
      <c r="D10" s="52"/>
      <c r="E10" s="52"/>
      <c r="F10" s="52"/>
      <c r="G10" s="52"/>
      <c r="H10" s="52"/>
      <c r="I10" s="52"/>
      <c r="J10" s="52"/>
      <c r="K10" s="52"/>
      <c r="L10" s="59"/>
      <c r="M10" s="60"/>
    </row>
    <row r="11" spans="1:13" ht="36" x14ac:dyDescent="0.25">
      <c r="A11" s="62"/>
      <c r="B11" s="63" t="s">
        <v>48</v>
      </c>
      <c r="C11" s="51" t="s">
        <v>49</v>
      </c>
      <c r="D11" s="52"/>
      <c r="E11" s="52"/>
      <c r="F11" s="52"/>
      <c r="G11" s="52"/>
      <c r="H11" s="52"/>
      <c r="I11" s="52"/>
      <c r="J11" s="52"/>
      <c r="K11" s="52"/>
      <c r="L11" s="59"/>
      <c r="M11" s="60"/>
    </row>
    <row r="12" spans="1:13" ht="36" x14ac:dyDescent="0.25">
      <c r="A12" s="62"/>
      <c r="B12" s="63" t="s">
        <v>50</v>
      </c>
      <c r="C12" s="51" t="s">
        <v>51</v>
      </c>
      <c r="D12" s="52"/>
      <c r="E12" s="52"/>
      <c r="F12" s="52"/>
      <c r="G12" s="52"/>
      <c r="H12" s="52"/>
      <c r="I12" s="52"/>
      <c r="J12" s="52"/>
      <c r="K12" s="52"/>
      <c r="L12" s="59"/>
      <c r="M12" s="60"/>
    </row>
    <row r="13" spans="1:13" s="70" customFormat="1" ht="24" x14ac:dyDescent="0.25">
      <c r="A13" s="62"/>
      <c r="B13" s="63" t="s">
        <v>52</v>
      </c>
      <c r="C13" s="51" t="s">
        <v>53</v>
      </c>
      <c r="D13" s="52"/>
      <c r="E13" s="52"/>
      <c r="F13" s="52"/>
      <c r="G13" s="52"/>
      <c r="H13" s="52"/>
      <c r="I13" s="52"/>
      <c r="J13" s="52"/>
      <c r="K13" s="52"/>
      <c r="L13" s="59"/>
      <c r="M13" s="69"/>
    </row>
    <row r="14" spans="1:13" s="70" customFormat="1" ht="24" x14ac:dyDescent="0.25">
      <c r="A14" s="62"/>
      <c r="B14" s="63" t="s">
        <v>54</v>
      </c>
      <c r="C14" s="51" t="s">
        <v>55</v>
      </c>
      <c r="D14" s="52"/>
      <c r="E14" s="52"/>
      <c r="F14" s="52"/>
      <c r="G14" s="52"/>
      <c r="H14" s="52"/>
      <c r="I14" s="52"/>
      <c r="J14" s="52"/>
      <c r="K14" s="52"/>
      <c r="L14" s="59"/>
      <c r="M14" s="69"/>
    </row>
    <row r="15" spans="1:13" s="70" customFormat="1" ht="24" x14ac:dyDescent="0.25">
      <c r="A15" s="62"/>
      <c r="B15" s="63" t="s">
        <v>56</v>
      </c>
      <c r="C15" s="51" t="s">
        <v>57</v>
      </c>
      <c r="D15" s="52"/>
      <c r="E15" s="52"/>
      <c r="F15" s="52"/>
      <c r="G15" s="52"/>
      <c r="H15" s="52"/>
      <c r="I15" s="52"/>
      <c r="J15" s="52"/>
      <c r="K15" s="52"/>
      <c r="L15" s="59"/>
      <c r="M15" s="69"/>
    </row>
    <row r="16" spans="1:13" ht="36" x14ac:dyDescent="0.25">
      <c r="A16" s="62"/>
      <c r="B16" s="63" t="s">
        <v>58</v>
      </c>
      <c r="C16" s="51" t="s">
        <v>59</v>
      </c>
      <c r="D16" s="52"/>
      <c r="E16" s="52"/>
      <c r="F16" s="52"/>
      <c r="G16" s="52"/>
      <c r="H16" s="52"/>
      <c r="I16" s="52"/>
      <c r="J16" s="52"/>
      <c r="K16" s="52"/>
      <c r="L16" s="59"/>
      <c r="M16" s="60"/>
    </row>
    <row r="17" spans="1:13" ht="15.75" thickBot="1" x14ac:dyDescent="0.3">
      <c r="A17" s="71"/>
      <c r="B17" s="72" t="s">
        <v>60</v>
      </c>
      <c r="C17" s="73" t="s">
        <v>61</v>
      </c>
      <c r="D17" s="52"/>
      <c r="E17" s="52"/>
      <c r="F17" s="52"/>
      <c r="G17" s="52"/>
      <c r="H17" s="52"/>
      <c r="I17" s="52"/>
      <c r="J17" s="52"/>
      <c r="K17" s="52"/>
      <c r="L17" s="59"/>
      <c r="M17" s="60"/>
    </row>
    <row r="18" spans="1:13" x14ac:dyDescent="0.25">
      <c r="A18" s="56" t="s">
        <v>62</v>
      </c>
      <c r="B18" s="74" t="s">
        <v>63</v>
      </c>
      <c r="C18" s="75" t="s">
        <v>64</v>
      </c>
      <c r="D18" s="52"/>
      <c r="E18" s="52"/>
      <c r="F18" s="52"/>
      <c r="G18" s="52"/>
      <c r="H18" s="52"/>
      <c r="I18" s="52"/>
      <c r="J18" s="52"/>
      <c r="K18" s="52"/>
      <c r="L18" s="59"/>
      <c r="M18" s="60"/>
    </row>
    <row r="19" spans="1:13" ht="15.75" thickBot="1" x14ac:dyDescent="0.3">
      <c r="A19" s="62"/>
      <c r="B19" s="76" t="s">
        <v>65</v>
      </c>
      <c r="C19" s="77" t="s">
        <v>66</v>
      </c>
      <c r="D19" s="52"/>
      <c r="E19" s="52"/>
      <c r="F19" s="52"/>
      <c r="G19" s="52"/>
      <c r="H19" s="52"/>
      <c r="I19" s="52"/>
      <c r="J19" s="52"/>
      <c r="K19" s="52"/>
      <c r="L19" s="59"/>
      <c r="M19" s="60"/>
    </row>
    <row r="20" spans="1:13" x14ac:dyDescent="0.25">
      <c r="A20" s="62"/>
      <c r="B20" s="78" t="s">
        <v>67</v>
      </c>
      <c r="C20" s="79" t="s">
        <v>68</v>
      </c>
      <c r="D20" s="52"/>
      <c r="E20" s="52"/>
      <c r="F20" s="52"/>
      <c r="G20" s="52"/>
      <c r="H20" s="52"/>
      <c r="I20" s="52"/>
      <c r="J20" s="52"/>
      <c r="K20" s="52"/>
      <c r="L20" s="59"/>
      <c r="M20" s="60"/>
    </row>
    <row r="21" spans="1:13" x14ac:dyDescent="0.25">
      <c r="A21" s="62"/>
      <c r="B21" s="78" t="s">
        <v>69</v>
      </c>
      <c r="C21" s="77" t="s">
        <v>70</v>
      </c>
      <c r="D21" s="52"/>
      <c r="E21" s="52"/>
      <c r="F21" s="52"/>
      <c r="G21" s="52"/>
      <c r="H21" s="52"/>
      <c r="I21" s="52"/>
      <c r="J21" s="52"/>
      <c r="K21" s="52"/>
      <c r="L21" s="59"/>
      <c r="M21" s="60"/>
    </row>
    <row r="22" spans="1:13" ht="24" x14ac:dyDescent="0.25">
      <c r="A22" s="62"/>
      <c r="B22" s="78" t="s">
        <v>71</v>
      </c>
      <c r="C22" s="75" t="s">
        <v>72</v>
      </c>
      <c r="D22" s="52"/>
      <c r="E22" s="52"/>
      <c r="F22" s="52"/>
      <c r="G22" s="52"/>
      <c r="H22" s="52"/>
      <c r="I22" s="52"/>
      <c r="J22" s="52"/>
      <c r="K22" s="52"/>
      <c r="L22" s="59"/>
      <c r="M22" s="60"/>
    </row>
    <row r="23" spans="1:13" ht="24.75" thickBot="1" x14ac:dyDescent="0.3">
      <c r="A23" s="71"/>
      <c r="B23" s="80" t="s">
        <v>73</v>
      </c>
      <c r="C23" s="81" t="s">
        <v>74</v>
      </c>
      <c r="D23" s="52"/>
      <c r="E23" s="52"/>
      <c r="F23" s="52"/>
      <c r="G23" s="52"/>
      <c r="H23" s="52"/>
      <c r="I23" s="52"/>
      <c r="J23" s="52"/>
      <c r="K23" s="52"/>
      <c r="L23" s="59"/>
      <c r="M23" s="60"/>
    </row>
    <row r="24" spans="1:13" ht="48" x14ac:dyDescent="0.25">
      <c r="A24" s="56" t="s">
        <v>75</v>
      </c>
      <c r="B24" s="82" t="s">
        <v>76</v>
      </c>
      <c r="C24" s="75" t="s">
        <v>77</v>
      </c>
      <c r="D24" s="65"/>
      <c r="E24" s="65"/>
      <c r="F24" s="65"/>
      <c r="G24" s="65"/>
      <c r="H24" s="65"/>
      <c r="I24" s="65"/>
      <c r="J24" s="65"/>
      <c r="K24" s="65"/>
      <c r="L24" s="66"/>
      <c r="M24" s="60"/>
    </row>
    <row r="25" spans="1:13" ht="24.75" thickBot="1" x14ac:dyDescent="0.3">
      <c r="A25" s="71"/>
      <c r="B25" s="82" t="s">
        <v>78</v>
      </c>
      <c r="C25" s="81" t="s">
        <v>79</v>
      </c>
      <c r="D25" s="52"/>
      <c r="E25" s="52"/>
      <c r="F25" s="52"/>
      <c r="G25" s="52"/>
      <c r="H25" s="52"/>
      <c r="I25" s="52"/>
      <c r="J25" s="52"/>
      <c r="K25" s="52"/>
      <c r="L25" s="59"/>
      <c r="M25" s="60"/>
    </row>
    <row r="26" spans="1:13" ht="32.450000000000003" customHeight="1" x14ac:dyDescent="0.25">
      <c r="A26" s="56" t="s">
        <v>80</v>
      </c>
      <c r="B26" s="83" t="s">
        <v>81</v>
      </c>
      <c r="C26" s="84" t="s">
        <v>82</v>
      </c>
      <c r="D26" s="52"/>
      <c r="E26" s="52"/>
      <c r="F26" s="52"/>
      <c r="G26" s="52"/>
      <c r="H26" s="52"/>
      <c r="I26" s="52"/>
      <c r="J26" s="52"/>
      <c r="K26" s="52"/>
      <c r="L26" s="59"/>
      <c r="M26" s="60"/>
    </row>
    <row r="27" spans="1:13" ht="24.75" thickBot="1" x14ac:dyDescent="0.3">
      <c r="A27" s="62"/>
      <c r="B27" s="83" t="s">
        <v>83</v>
      </c>
      <c r="C27" s="75" t="s">
        <v>84</v>
      </c>
      <c r="D27" s="52"/>
      <c r="E27" s="52"/>
      <c r="F27" s="52"/>
      <c r="G27" s="52"/>
      <c r="H27" s="52"/>
      <c r="I27" s="52"/>
      <c r="J27" s="52"/>
      <c r="K27" s="52"/>
      <c r="L27" s="59"/>
      <c r="M27" s="60"/>
    </row>
    <row r="28" spans="1:13" x14ac:dyDescent="0.25">
      <c r="A28" s="62"/>
      <c r="B28" s="83" t="s">
        <v>85</v>
      </c>
      <c r="C28" s="79" t="s">
        <v>86</v>
      </c>
      <c r="D28" s="52"/>
      <c r="E28" s="52"/>
      <c r="F28" s="52"/>
      <c r="G28" s="52"/>
      <c r="H28" s="52"/>
      <c r="I28" s="52"/>
      <c r="J28" s="52"/>
      <c r="K28" s="52"/>
      <c r="L28" s="59"/>
      <c r="M28" s="60"/>
    </row>
    <row r="29" spans="1:13" ht="15.75" thickBot="1" x14ac:dyDescent="0.3">
      <c r="A29" s="71"/>
      <c r="B29" s="85" t="s">
        <v>87</v>
      </c>
      <c r="C29" s="86" t="s">
        <v>88</v>
      </c>
      <c r="D29" s="52"/>
      <c r="E29" s="52"/>
      <c r="F29" s="52"/>
      <c r="G29" s="52"/>
      <c r="H29" s="52"/>
      <c r="I29" s="52"/>
      <c r="J29" s="52"/>
      <c r="K29" s="52"/>
      <c r="L29" s="59"/>
      <c r="M29" s="60"/>
    </row>
    <row r="30" spans="1:13" x14ac:dyDescent="0.25">
      <c r="A30" s="87"/>
      <c r="B30" s="69"/>
      <c r="C30" s="60"/>
      <c r="D30" s="65"/>
      <c r="E30" s="65"/>
      <c r="F30" s="65"/>
      <c r="G30" s="65"/>
      <c r="H30" s="65"/>
      <c r="I30" s="65"/>
      <c r="J30" s="65"/>
      <c r="K30" s="65"/>
      <c r="L30" s="66"/>
      <c r="M30" s="60"/>
    </row>
    <row r="31" spans="1:13" x14ac:dyDescent="0.25">
      <c r="B31" s="69"/>
      <c r="C31" s="60"/>
      <c r="D31" s="60"/>
      <c r="E31" s="60"/>
      <c r="F31" s="60"/>
      <c r="G31" s="60"/>
      <c r="H31" s="60"/>
      <c r="I31" s="60"/>
      <c r="J31" s="60"/>
      <c r="K31" s="60"/>
      <c r="L31" s="60"/>
      <c r="M31" s="60"/>
    </row>
    <row r="32" spans="1:13" x14ac:dyDescent="0.25">
      <c r="B32" s="69"/>
      <c r="C32" s="60"/>
      <c r="D32" s="60"/>
      <c r="E32" s="60"/>
      <c r="F32" s="60"/>
      <c r="G32" s="60"/>
      <c r="H32" s="60"/>
      <c r="I32" s="60"/>
      <c r="J32" s="60"/>
      <c r="K32" s="60"/>
      <c r="L32" s="60"/>
    </row>
    <row r="33" spans="2:12" x14ac:dyDescent="0.25">
      <c r="B33" s="69"/>
      <c r="C33" s="60"/>
      <c r="D33" s="60"/>
      <c r="E33" s="60"/>
      <c r="F33" s="60"/>
      <c r="G33" s="60"/>
      <c r="H33" s="60"/>
      <c r="I33" s="60"/>
      <c r="J33" s="60"/>
      <c r="K33" s="60"/>
      <c r="L33" s="60"/>
    </row>
    <row r="34" spans="2:12" x14ac:dyDescent="0.25">
      <c r="B34" s="69"/>
      <c r="C34" s="60"/>
      <c r="D34" s="60"/>
      <c r="E34" s="60"/>
      <c r="F34" s="60"/>
      <c r="G34" s="60"/>
      <c r="H34" s="60"/>
      <c r="I34" s="60"/>
      <c r="J34" s="60"/>
      <c r="K34" s="60"/>
      <c r="L34" s="60"/>
    </row>
    <row r="35" spans="2:12" x14ac:dyDescent="0.25">
      <c r="B35" s="69"/>
      <c r="C35" s="60"/>
      <c r="D35" s="60"/>
      <c r="E35" s="60"/>
      <c r="F35" s="60"/>
      <c r="G35" s="60"/>
      <c r="H35" s="60"/>
      <c r="I35" s="60"/>
      <c r="J35" s="60"/>
      <c r="K35" s="60"/>
      <c r="L35" s="60"/>
    </row>
    <row r="36" spans="2:12" x14ac:dyDescent="0.25">
      <c r="B36" s="69"/>
      <c r="C36" s="60"/>
      <c r="D36" s="60"/>
      <c r="E36" s="60"/>
      <c r="F36" s="60"/>
      <c r="G36" s="60"/>
      <c r="H36" s="60"/>
      <c r="I36" s="60"/>
      <c r="J36" s="60"/>
      <c r="K36" s="60"/>
      <c r="L36" s="60"/>
    </row>
    <row r="37" spans="2:12" x14ac:dyDescent="0.25">
      <c r="D37" s="60"/>
      <c r="E37" s="60"/>
      <c r="F37" s="60"/>
      <c r="G37" s="60"/>
      <c r="H37" s="60"/>
      <c r="I37" s="60"/>
      <c r="J37" s="60"/>
      <c r="K37" s="60"/>
      <c r="L37" s="60"/>
    </row>
  </sheetData>
  <pageMargins left="0.25" right="0.25" top="0.75" bottom="0.75" header="0.3" footer="0.3"/>
  <pageSetup paperSize="5" scale="74"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AH65"/>
  <sheetViews>
    <sheetView zoomScale="70" zoomScaleNormal="70" workbookViewId="0">
      <selection activeCell="AF3" sqref="AF3"/>
    </sheetView>
  </sheetViews>
  <sheetFormatPr defaultRowHeight="15" x14ac:dyDescent="0.25"/>
  <cols>
    <col min="2" max="2" width="16.28515625" style="164" bestFit="1" customWidth="1"/>
    <col min="3" max="3" width="16.140625" customWidth="1"/>
    <col min="4" max="4" width="14.85546875" style="165" customWidth="1"/>
    <col min="5" max="5" width="24.28515625" style="165" customWidth="1"/>
    <col min="6" max="6" width="12.85546875" style="165" customWidth="1"/>
    <col min="7" max="7" width="11.28515625" customWidth="1"/>
    <col min="8" max="8" width="12.85546875" style="165" customWidth="1"/>
    <col min="9" max="9" width="15.7109375" style="165" customWidth="1"/>
    <col min="10" max="10" width="13.140625" style="165" customWidth="1"/>
    <col min="11" max="11" width="11.42578125" style="165" customWidth="1"/>
    <col min="12" max="13" width="12.42578125" style="165" customWidth="1"/>
    <col min="14" max="14" width="12.85546875" style="165" customWidth="1"/>
    <col min="15" max="15" width="13.85546875" style="165" customWidth="1"/>
    <col min="16" max="16" width="7.7109375" style="166" customWidth="1"/>
    <col min="17" max="17" width="12.85546875" style="166" customWidth="1"/>
    <col min="18" max="18" width="9.5703125" style="166" customWidth="1"/>
    <col min="19" max="19" width="9.7109375" style="167" hidden="1" customWidth="1"/>
    <col min="20" max="20" width="9.7109375" customWidth="1"/>
    <col min="21" max="21" width="9.28515625" customWidth="1"/>
    <col min="22" max="22" width="15.140625" customWidth="1"/>
    <col min="23" max="23" width="39.7109375" customWidth="1"/>
    <col min="24" max="25" width="12.5703125" customWidth="1"/>
    <col min="26" max="26" width="10.140625" customWidth="1"/>
    <col min="27" max="27" width="21" customWidth="1"/>
    <col min="28" max="28" width="23" customWidth="1"/>
  </cols>
  <sheetData>
    <row r="1" spans="1:34" s="103" customFormat="1" ht="58.5" customHeight="1" thickBot="1" x14ac:dyDescent="0.3">
      <c r="A1" s="89" t="s">
        <v>89</v>
      </c>
      <c r="B1" s="90"/>
      <c r="C1" s="91" t="s">
        <v>90</v>
      </c>
      <c r="D1" s="92"/>
      <c r="E1" s="92"/>
      <c r="F1" s="92"/>
      <c r="G1" s="93"/>
      <c r="H1" s="94" t="s">
        <v>2</v>
      </c>
      <c r="I1" s="95" t="s">
        <v>91</v>
      </c>
      <c r="J1" s="96" t="s">
        <v>3</v>
      </c>
      <c r="K1" s="97" t="s">
        <v>92</v>
      </c>
      <c r="L1" s="98"/>
      <c r="M1" s="98"/>
      <c r="N1" s="98"/>
      <c r="O1" s="99"/>
      <c r="P1" s="100"/>
      <c r="Q1" s="100"/>
      <c r="R1" s="100"/>
      <c r="S1" s="101"/>
      <c r="T1" s="100"/>
      <c r="U1" s="102"/>
      <c r="V1" s="242" t="s">
        <v>229</v>
      </c>
      <c r="W1" s="243"/>
      <c r="X1" s="243"/>
      <c r="Y1" s="243"/>
      <c r="Z1" s="243"/>
      <c r="AA1" s="244"/>
    </row>
    <row r="2" spans="1:34" ht="15.75" thickBot="1" x14ac:dyDescent="0.3">
      <c r="A2" s="104"/>
      <c r="B2" s="105"/>
      <c r="C2" s="105"/>
      <c r="D2" s="105"/>
      <c r="E2" s="105" t="s">
        <v>34</v>
      </c>
      <c r="F2" s="105"/>
      <c r="G2" s="105"/>
      <c r="H2" s="106"/>
      <c r="I2" s="106"/>
      <c r="J2" s="106"/>
      <c r="K2" s="106"/>
      <c r="L2" s="106"/>
      <c r="M2" s="106"/>
      <c r="N2" s="107"/>
      <c r="O2" s="108"/>
      <c r="P2" s="108"/>
      <c r="Q2" s="108" t="s">
        <v>62</v>
      </c>
      <c r="R2" s="108"/>
      <c r="S2" s="108"/>
      <c r="T2" s="108"/>
      <c r="U2" s="109"/>
      <c r="V2" s="110" t="s">
        <v>75</v>
      </c>
      <c r="W2" s="111"/>
      <c r="X2" s="112"/>
      <c r="Y2" s="113" t="s">
        <v>93</v>
      </c>
      <c r="Z2" s="113"/>
      <c r="AA2" s="114"/>
    </row>
    <row r="3" spans="1:34" s="129" customFormat="1" ht="59.25" x14ac:dyDescent="0.25">
      <c r="A3" s="115" t="s">
        <v>15</v>
      </c>
      <c r="B3" s="116" t="s">
        <v>36</v>
      </c>
      <c r="C3" s="115" t="s">
        <v>38</v>
      </c>
      <c r="D3" s="115" t="s">
        <v>16</v>
      </c>
      <c r="E3" s="115" t="s">
        <v>42</v>
      </c>
      <c r="F3" s="115" t="s">
        <v>94</v>
      </c>
      <c r="G3" s="115" t="s">
        <v>46</v>
      </c>
      <c r="H3" s="117" t="s">
        <v>95</v>
      </c>
      <c r="I3" s="117" t="s">
        <v>96</v>
      </c>
      <c r="J3" s="117" t="s">
        <v>97</v>
      </c>
      <c r="K3" s="117" t="s">
        <v>98</v>
      </c>
      <c r="L3" s="117" t="s">
        <v>99</v>
      </c>
      <c r="M3" s="117" t="s">
        <v>58</v>
      </c>
      <c r="N3" s="118" t="s">
        <v>60</v>
      </c>
      <c r="O3" s="119" t="s">
        <v>100</v>
      </c>
      <c r="P3" s="120" t="s">
        <v>101</v>
      </c>
      <c r="Q3" s="120" t="s">
        <v>102</v>
      </c>
      <c r="R3" s="120" t="s">
        <v>103</v>
      </c>
      <c r="S3" s="121" t="s">
        <v>104</v>
      </c>
      <c r="T3" s="121" t="s">
        <v>105</v>
      </c>
      <c r="U3" s="122" t="s">
        <v>106</v>
      </c>
      <c r="V3" s="123" t="s">
        <v>107</v>
      </c>
      <c r="W3" s="124" t="s">
        <v>78</v>
      </c>
      <c r="X3" s="125" t="s">
        <v>108</v>
      </c>
      <c r="Y3" s="126" t="s">
        <v>109</v>
      </c>
      <c r="Z3" s="127" t="s">
        <v>110</v>
      </c>
      <c r="AA3" s="128" t="s">
        <v>111</v>
      </c>
    </row>
    <row r="4" spans="1:34" s="136" customFormat="1" ht="60" x14ac:dyDescent="0.25">
      <c r="A4" s="130" t="s">
        <v>112</v>
      </c>
      <c r="B4" s="131">
        <v>41368</v>
      </c>
      <c r="C4" s="130" t="s">
        <v>113</v>
      </c>
      <c r="D4" s="132" t="s">
        <v>114</v>
      </c>
      <c r="E4" s="132" t="s">
        <v>115</v>
      </c>
      <c r="F4" s="132" t="s">
        <v>116</v>
      </c>
      <c r="G4" s="132" t="s">
        <v>113</v>
      </c>
      <c r="H4" s="132" t="s">
        <v>117</v>
      </c>
      <c r="I4" s="132" t="s">
        <v>118</v>
      </c>
      <c r="J4" s="132" t="s">
        <v>119</v>
      </c>
      <c r="K4" s="133" t="s">
        <v>120</v>
      </c>
      <c r="L4" s="132" t="s">
        <v>121</v>
      </c>
      <c r="M4" s="132" t="s">
        <v>122</v>
      </c>
      <c r="N4" s="132" t="s">
        <v>123</v>
      </c>
      <c r="O4" s="130" t="s">
        <v>124</v>
      </c>
      <c r="P4" s="130">
        <f>VLOOKUP(O4,'Source Data Tables'!$G$13:$H$17,2,FALSE)</f>
        <v>0.1</v>
      </c>
      <c r="Q4" s="130" t="s">
        <v>125</v>
      </c>
      <c r="R4" s="130">
        <f>VLOOKUP(Q4,'Source Data Tables'!$G$5:$H$9,2,FALSE)</f>
        <v>0.8</v>
      </c>
      <c r="S4" s="134">
        <f t="shared" ref="S4:S64" si="0">P4*R4</f>
        <v>8.0000000000000016E-2</v>
      </c>
      <c r="T4" s="134">
        <f t="shared" ref="T4:T64" si="1">VALUE(S4)</f>
        <v>8.0000000000000016E-2</v>
      </c>
      <c r="U4" s="130" t="s">
        <v>126</v>
      </c>
      <c r="V4" s="132" t="s">
        <v>127</v>
      </c>
      <c r="W4" s="132" t="s">
        <v>128</v>
      </c>
      <c r="X4" s="132" t="s">
        <v>126</v>
      </c>
      <c r="Y4" s="135" t="s">
        <v>129</v>
      </c>
      <c r="Z4" s="132" t="s">
        <v>130</v>
      </c>
      <c r="AA4" s="132" t="s">
        <v>131</v>
      </c>
    </row>
    <row r="5" spans="1:34" s="136" customFormat="1" ht="60" x14ac:dyDescent="0.25">
      <c r="A5" s="130" t="s">
        <v>132</v>
      </c>
      <c r="B5" s="131">
        <v>41369</v>
      </c>
      <c r="C5" s="130" t="s">
        <v>113</v>
      </c>
      <c r="D5" s="137" t="s">
        <v>114</v>
      </c>
      <c r="E5" s="132" t="s">
        <v>115</v>
      </c>
      <c r="F5" s="132" t="s">
        <v>116</v>
      </c>
      <c r="G5" s="132" t="s">
        <v>113</v>
      </c>
      <c r="H5" s="132" t="s">
        <v>133</v>
      </c>
      <c r="I5" s="132" t="s">
        <v>134</v>
      </c>
      <c r="J5" s="132" t="s">
        <v>119</v>
      </c>
      <c r="K5" s="133" t="s">
        <v>120</v>
      </c>
      <c r="L5" s="137" t="s">
        <v>121</v>
      </c>
      <c r="M5" s="132" t="s">
        <v>122</v>
      </c>
      <c r="N5" s="132" t="s">
        <v>123</v>
      </c>
      <c r="O5" s="130" t="s">
        <v>135</v>
      </c>
      <c r="P5" s="130">
        <f>VLOOKUP(O5,'Source Data Tables'!$G$13:$H$17,2,FALSE)</f>
        <v>0.9</v>
      </c>
      <c r="Q5" s="130" t="s">
        <v>136</v>
      </c>
      <c r="R5" s="130">
        <f>VLOOKUP(Q5,'Source Data Tables'!$G$5:$H$9,2,FALSE)</f>
        <v>0.1</v>
      </c>
      <c r="S5" s="134">
        <f t="shared" si="0"/>
        <v>9.0000000000000011E-2</v>
      </c>
      <c r="T5" s="134">
        <f t="shared" si="1"/>
        <v>9.0000000000000011E-2</v>
      </c>
      <c r="U5" s="130" t="s">
        <v>137</v>
      </c>
      <c r="V5" s="132" t="s">
        <v>138</v>
      </c>
      <c r="W5" s="132" t="s">
        <v>128</v>
      </c>
      <c r="X5" s="132" t="s">
        <v>137</v>
      </c>
      <c r="Y5" s="132" t="s">
        <v>129</v>
      </c>
      <c r="Z5" s="132" t="s">
        <v>139</v>
      </c>
      <c r="AA5" s="132" t="s">
        <v>131</v>
      </c>
    </row>
    <row r="6" spans="1:34" s="136" customFormat="1" x14ac:dyDescent="0.25">
      <c r="A6" s="130"/>
      <c r="B6" s="131"/>
      <c r="C6" s="130"/>
      <c r="D6" s="137"/>
      <c r="E6" s="132"/>
      <c r="F6" s="132"/>
      <c r="G6" s="138"/>
      <c r="H6" s="132"/>
      <c r="I6" s="132"/>
      <c r="J6" s="132"/>
      <c r="K6" s="133"/>
      <c r="L6" s="137"/>
      <c r="M6" s="132"/>
      <c r="N6" s="132"/>
      <c r="O6" s="130"/>
      <c r="P6" s="130" t="e">
        <f>VLOOKUP(O6,'Source Data Tables'!$G$13:$H$17,2,FALSE)</f>
        <v>#N/A</v>
      </c>
      <c r="Q6" s="130"/>
      <c r="R6" s="130" t="e">
        <f>VLOOKUP(Q6,'Source Data Tables'!$G$5:$H$9,2,FALSE)</f>
        <v>#N/A</v>
      </c>
      <c r="S6" s="134" t="e">
        <f t="shared" si="0"/>
        <v>#N/A</v>
      </c>
      <c r="T6" s="134" t="e">
        <f t="shared" si="1"/>
        <v>#N/A</v>
      </c>
      <c r="U6" s="130"/>
      <c r="V6" s="132"/>
      <c r="W6" s="132"/>
      <c r="X6" s="132"/>
      <c r="Y6" s="132"/>
      <c r="Z6" s="132"/>
      <c r="AA6" s="132"/>
    </row>
    <row r="7" spans="1:34" s="136" customFormat="1" x14ac:dyDescent="0.25">
      <c r="A7" s="130"/>
      <c r="B7" s="131"/>
      <c r="C7" s="130"/>
      <c r="D7" s="137"/>
      <c r="E7" s="137"/>
      <c r="F7" s="132"/>
      <c r="G7" s="132"/>
      <c r="H7" s="132"/>
      <c r="I7" s="132"/>
      <c r="J7" s="132"/>
      <c r="K7" s="133"/>
      <c r="L7" s="137"/>
      <c r="M7" s="132"/>
      <c r="N7" s="132"/>
      <c r="O7" s="130"/>
      <c r="P7" s="130" t="e">
        <f>VLOOKUP(O7,'Source Data Tables'!$G$13:$H$17,2,FALSE)</f>
        <v>#N/A</v>
      </c>
      <c r="Q7" s="130"/>
      <c r="R7" s="130" t="e">
        <f>VLOOKUP(Q7,'Source Data Tables'!$G$5:$H$9,2,FALSE)</f>
        <v>#N/A</v>
      </c>
      <c r="S7" s="134" t="e">
        <f t="shared" si="0"/>
        <v>#N/A</v>
      </c>
      <c r="T7" s="134" t="e">
        <f t="shared" si="1"/>
        <v>#N/A</v>
      </c>
      <c r="U7" s="130"/>
      <c r="V7" s="132"/>
      <c r="W7" s="132"/>
      <c r="X7" s="132"/>
      <c r="Y7" s="132"/>
      <c r="Z7" s="132"/>
      <c r="AA7" s="132"/>
      <c r="AH7"/>
    </row>
    <row r="8" spans="1:34" s="136" customFormat="1" x14ac:dyDescent="0.25">
      <c r="A8" s="130"/>
      <c r="B8" s="131"/>
      <c r="C8" s="130"/>
      <c r="D8" s="132"/>
      <c r="E8" s="132"/>
      <c r="F8" s="132"/>
      <c r="G8" s="138"/>
      <c r="H8" s="132"/>
      <c r="I8" s="132"/>
      <c r="J8" s="132"/>
      <c r="K8" s="133"/>
      <c r="L8" s="137"/>
      <c r="M8" s="132"/>
      <c r="N8" s="132"/>
      <c r="O8" s="130"/>
      <c r="P8" s="130" t="e">
        <f>VLOOKUP(O8,'Source Data Tables'!$G$13:$H$17,2,FALSE)</f>
        <v>#N/A</v>
      </c>
      <c r="Q8" s="130"/>
      <c r="R8" s="130" t="e">
        <f>VLOOKUP(Q8,'Source Data Tables'!$G$5:$H$9,2,FALSE)</f>
        <v>#N/A</v>
      </c>
      <c r="S8" s="134" t="e">
        <f t="shared" si="0"/>
        <v>#N/A</v>
      </c>
      <c r="T8" s="134" t="e">
        <f t="shared" si="1"/>
        <v>#N/A</v>
      </c>
      <c r="U8" s="130"/>
      <c r="V8" s="132"/>
      <c r="W8" s="132"/>
      <c r="X8" s="132"/>
      <c r="Y8" s="132"/>
      <c r="Z8" s="132"/>
      <c r="AA8" s="132"/>
    </row>
    <row r="9" spans="1:34" s="136" customFormat="1" x14ac:dyDescent="0.25">
      <c r="A9" s="130"/>
      <c r="B9" s="131"/>
      <c r="C9" s="130"/>
      <c r="D9" s="137"/>
      <c r="E9" s="137"/>
      <c r="F9" s="132"/>
      <c r="G9" s="132"/>
      <c r="H9" s="132"/>
      <c r="I9" s="132"/>
      <c r="J9" s="132"/>
      <c r="K9" s="133"/>
      <c r="L9" s="137"/>
      <c r="M9" s="132"/>
      <c r="N9" s="132"/>
      <c r="O9" s="130"/>
      <c r="P9" s="130" t="e">
        <f>VLOOKUP(O9,'Source Data Tables'!$G$13:$H$17,2,FALSE)</f>
        <v>#N/A</v>
      </c>
      <c r="Q9" s="130"/>
      <c r="R9" s="130" t="e">
        <f>VLOOKUP(Q9,'Source Data Tables'!$G$5:$H$9,2,FALSE)</f>
        <v>#N/A</v>
      </c>
      <c r="S9" s="134" t="e">
        <f t="shared" si="0"/>
        <v>#N/A</v>
      </c>
      <c r="T9" s="134" t="e">
        <f t="shared" si="1"/>
        <v>#N/A</v>
      </c>
      <c r="U9" s="130"/>
      <c r="V9" s="132"/>
      <c r="W9" s="132"/>
      <c r="X9" s="132"/>
      <c r="Y9" s="132"/>
      <c r="Z9" s="132"/>
      <c r="AA9" s="132"/>
    </row>
    <row r="10" spans="1:34" s="136" customFormat="1" x14ac:dyDescent="0.25">
      <c r="A10" s="130"/>
      <c r="B10" s="131"/>
      <c r="C10" s="130"/>
      <c r="D10" s="137"/>
      <c r="E10" s="132"/>
      <c r="F10" s="132"/>
      <c r="G10" s="132"/>
      <c r="H10" s="132"/>
      <c r="I10" s="132"/>
      <c r="J10" s="132"/>
      <c r="K10" s="133"/>
      <c r="L10" s="137"/>
      <c r="M10" s="132"/>
      <c r="N10" s="132"/>
      <c r="O10" s="130"/>
      <c r="P10" s="130" t="e">
        <f>VLOOKUP(O10,'Source Data Tables'!$G$13:$H$17,2,FALSE)</f>
        <v>#N/A</v>
      </c>
      <c r="Q10" s="130"/>
      <c r="R10" s="130" t="e">
        <f>VLOOKUP(Q10,'Source Data Tables'!$G$5:$H$9,2,FALSE)</f>
        <v>#N/A</v>
      </c>
      <c r="S10" s="134" t="e">
        <f t="shared" si="0"/>
        <v>#N/A</v>
      </c>
      <c r="T10" s="134" t="e">
        <f t="shared" si="1"/>
        <v>#N/A</v>
      </c>
      <c r="U10" s="130"/>
      <c r="V10" s="132"/>
      <c r="W10" s="132"/>
      <c r="X10" s="132"/>
      <c r="Y10" s="132"/>
      <c r="Z10" s="132"/>
      <c r="AA10" s="132"/>
    </row>
    <row r="11" spans="1:34" s="144" customFormat="1" x14ac:dyDescent="0.25">
      <c r="A11" s="139"/>
      <c r="B11" s="140"/>
      <c r="C11" s="139"/>
      <c r="D11" s="141"/>
      <c r="E11" s="138"/>
      <c r="F11" s="138"/>
      <c r="G11" s="138"/>
      <c r="H11" s="138"/>
      <c r="I11" s="138"/>
      <c r="J11" s="138"/>
      <c r="K11" s="142"/>
      <c r="L11" s="141"/>
      <c r="M11" s="138"/>
      <c r="N11" s="138"/>
      <c r="O11" s="139"/>
      <c r="P11" s="139" t="e">
        <f>VLOOKUP(O11,'Source Data Tables'!$G$13:$H$17,2,FALSE)</f>
        <v>#N/A</v>
      </c>
      <c r="Q11" s="139"/>
      <c r="R11" s="139" t="e">
        <f>VLOOKUP(Q11,'Source Data Tables'!$G$5:$H$9,2,FALSE)</f>
        <v>#N/A</v>
      </c>
      <c r="S11" s="143" t="e">
        <f t="shared" si="0"/>
        <v>#N/A</v>
      </c>
      <c r="T11" s="143" t="e">
        <f t="shared" si="1"/>
        <v>#N/A</v>
      </c>
      <c r="U11" s="139"/>
      <c r="V11" s="138"/>
      <c r="W11" s="138"/>
      <c r="X11" s="138"/>
      <c r="Y11" s="138"/>
      <c r="Z11" s="138"/>
      <c r="AA11" s="138"/>
    </row>
    <row r="12" spans="1:34" s="144" customFormat="1" x14ac:dyDescent="0.25">
      <c r="A12" s="139"/>
      <c r="B12" s="140"/>
      <c r="C12" s="139"/>
      <c r="D12" s="141"/>
      <c r="E12" s="141"/>
      <c r="F12" s="138"/>
      <c r="G12" s="138"/>
      <c r="H12" s="138"/>
      <c r="I12" s="138"/>
      <c r="J12" s="138"/>
      <c r="K12" s="142"/>
      <c r="L12" s="141"/>
      <c r="M12" s="138"/>
      <c r="N12" s="138"/>
      <c r="O12" s="139"/>
      <c r="P12" s="139" t="e">
        <f>VLOOKUP(O12,'Source Data Tables'!$G$13:$H$17,2,FALSE)</f>
        <v>#N/A</v>
      </c>
      <c r="Q12" s="139"/>
      <c r="R12" s="139" t="e">
        <f>VLOOKUP(Q12,'Source Data Tables'!$G$5:$H$9,2,FALSE)</f>
        <v>#N/A</v>
      </c>
      <c r="S12" s="143" t="e">
        <f t="shared" si="0"/>
        <v>#N/A</v>
      </c>
      <c r="T12" s="143" t="e">
        <f t="shared" si="1"/>
        <v>#N/A</v>
      </c>
      <c r="U12" s="139"/>
      <c r="V12" s="138"/>
      <c r="W12" s="138"/>
      <c r="X12" s="138"/>
      <c r="Y12" s="138"/>
      <c r="Z12" s="138"/>
      <c r="AA12" s="138"/>
    </row>
    <row r="13" spans="1:34" s="150" customFormat="1" x14ac:dyDescent="0.25">
      <c r="A13" s="139"/>
      <c r="B13" s="140"/>
      <c r="C13" s="139"/>
      <c r="D13" s="141"/>
      <c r="E13" s="145"/>
      <c r="F13" s="146"/>
      <c r="G13" s="146"/>
      <c r="H13" s="146"/>
      <c r="I13" s="146"/>
      <c r="J13" s="145"/>
      <c r="K13" s="147"/>
      <c r="L13" s="145"/>
      <c r="M13" s="146"/>
      <c r="N13" s="146"/>
      <c r="O13" s="148"/>
      <c r="P13" s="148" t="e">
        <f>VLOOKUP(O13,'Source Data Tables'!$G$13:$H$17,2,FALSE)</f>
        <v>#N/A</v>
      </c>
      <c r="Q13" s="148"/>
      <c r="R13" s="148" t="e">
        <f>VLOOKUP(Q13,'Source Data Tables'!$G$5:$H$9,2,FALSE)</f>
        <v>#N/A</v>
      </c>
      <c r="S13" s="149" t="e">
        <f t="shared" si="0"/>
        <v>#N/A</v>
      </c>
      <c r="T13" s="149" t="e">
        <f t="shared" si="1"/>
        <v>#N/A</v>
      </c>
      <c r="U13" s="148"/>
      <c r="V13" s="146"/>
      <c r="W13" s="146"/>
      <c r="X13" s="146"/>
      <c r="Y13" s="146"/>
      <c r="Z13" s="146"/>
      <c r="AA13" s="146"/>
    </row>
    <row r="14" spans="1:34" s="150" customFormat="1" x14ac:dyDescent="0.25">
      <c r="A14" s="139"/>
      <c r="B14" s="140"/>
      <c r="C14" s="139"/>
      <c r="D14" s="141"/>
      <c r="E14" s="146"/>
      <c r="F14" s="146"/>
      <c r="G14" s="146"/>
      <c r="H14" s="146"/>
      <c r="I14" s="146"/>
      <c r="J14" s="146"/>
      <c r="K14" s="147"/>
      <c r="L14" s="146"/>
      <c r="M14" s="146"/>
      <c r="N14" s="146"/>
      <c r="O14" s="148"/>
      <c r="P14" s="148" t="e">
        <f>VLOOKUP(O14,'Source Data Tables'!$G$13:$H$17,2,FALSE)</f>
        <v>#N/A</v>
      </c>
      <c r="Q14" s="148"/>
      <c r="R14" s="148" t="e">
        <f>VLOOKUP(Q14,'Source Data Tables'!$G$5:$H$9,2,FALSE)</f>
        <v>#N/A</v>
      </c>
      <c r="S14" s="149" t="e">
        <f t="shared" si="0"/>
        <v>#N/A</v>
      </c>
      <c r="T14" s="149" t="e">
        <f t="shared" si="1"/>
        <v>#N/A</v>
      </c>
      <c r="U14" s="148"/>
      <c r="V14" s="146"/>
      <c r="W14" s="146"/>
      <c r="X14" s="146"/>
      <c r="Y14" s="146"/>
      <c r="Z14" s="146"/>
      <c r="AA14" s="145"/>
    </row>
    <row r="15" spans="1:34" s="150" customFormat="1" x14ac:dyDescent="0.25">
      <c r="A15" s="139"/>
      <c r="B15" s="140"/>
      <c r="C15" s="139"/>
      <c r="D15" s="141"/>
      <c r="E15" s="145"/>
      <c r="F15" s="146"/>
      <c r="G15" s="146"/>
      <c r="H15" s="146"/>
      <c r="I15" s="146"/>
      <c r="J15" s="145"/>
      <c r="K15" s="147"/>
      <c r="L15" s="146"/>
      <c r="M15" s="146"/>
      <c r="N15" s="146"/>
      <c r="O15" s="148"/>
      <c r="P15" s="148" t="e">
        <f>VLOOKUP(O15,'Source Data Tables'!$G$13:$H$17,2,FALSE)</f>
        <v>#N/A</v>
      </c>
      <c r="Q15" s="148"/>
      <c r="R15" s="148" t="e">
        <f>VLOOKUP(Q15,'Source Data Tables'!$G$5:$H$9,2,FALSE)</f>
        <v>#N/A</v>
      </c>
      <c r="S15" s="149" t="e">
        <f t="shared" si="0"/>
        <v>#N/A</v>
      </c>
      <c r="T15" s="149" t="e">
        <f t="shared" si="1"/>
        <v>#N/A</v>
      </c>
      <c r="U15" s="148"/>
      <c r="V15" s="146"/>
      <c r="W15" s="146"/>
      <c r="X15" s="146"/>
      <c r="Y15" s="146"/>
      <c r="Z15" s="146"/>
      <c r="AA15" s="146"/>
    </row>
    <row r="16" spans="1:34" s="150" customFormat="1" x14ac:dyDescent="0.25">
      <c r="A16" s="139"/>
      <c r="B16" s="140"/>
      <c r="C16" s="139"/>
      <c r="D16" s="141"/>
      <c r="E16" s="145"/>
      <c r="F16" s="146"/>
      <c r="G16" s="146"/>
      <c r="H16" s="146"/>
      <c r="I16" s="146"/>
      <c r="J16" s="145"/>
      <c r="K16" s="147"/>
      <c r="L16" s="146"/>
      <c r="M16" s="146"/>
      <c r="N16" s="146"/>
      <c r="O16" s="148"/>
      <c r="P16" s="148" t="e">
        <f>VLOOKUP(O16,'Source Data Tables'!$G$13:$H$17,2,FALSE)</f>
        <v>#N/A</v>
      </c>
      <c r="Q16" s="148"/>
      <c r="R16" s="148" t="e">
        <f>VLOOKUP(Q16,'Source Data Tables'!$G$5:$H$9,2,FALSE)</f>
        <v>#N/A</v>
      </c>
      <c r="S16" s="149" t="e">
        <f t="shared" si="0"/>
        <v>#N/A</v>
      </c>
      <c r="T16" s="149" t="e">
        <f t="shared" si="1"/>
        <v>#N/A</v>
      </c>
      <c r="U16" s="148"/>
      <c r="V16" s="146"/>
      <c r="W16" s="146"/>
      <c r="X16" s="146"/>
      <c r="Y16" s="146"/>
      <c r="Z16" s="146"/>
      <c r="AA16" s="146"/>
    </row>
    <row r="17" spans="1:27" s="144" customFormat="1" x14ac:dyDescent="0.25">
      <c r="A17" s="139"/>
      <c r="B17" s="140"/>
      <c r="C17" s="139"/>
      <c r="D17" s="141"/>
      <c r="E17" s="141"/>
      <c r="F17" s="138"/>
      <c r="G17" s="138"/>
      <c r="H17" s="138"/>
      <c r="I17" s="138"/>
      <c r="J17" s="141"/>
      <c r="K17" s="142"/>
      <c r="L17" s="138"/>
      <c r="M17" s="138"/>
      <c r="N17" s="138"/>
      <c r="O17" s="139"/>
      <c r="P17" s="139" t="e">
        <f>VLOOKUP(O17,'Source Data Tables'!$G$13:$H$17,2,FALSE)</f>
        <v>#N/A</v>
      </c>
      <c r="Q17" s="139"/>
      <c r="R17" s="139" t="e">
        <f>VLOOKUP(Q17,'Source Data Tables'!$G$5:$H$9,2,FALSE)</f>
        <v>#N/A</v>
      </c>
      <c r="S17" s="143" t="e">
        <f t="shared" si="0"/>
        <v>#N/A</v>
      </c>
      <c r="T17" s="143" t="e">
        <f t="shared" si="1"/>
        <v>#N/A</v>
      </c>
      <c r="U17" s="139"/>
      <c r="V17" s="138"/>
      <c r="W17" s="138"/>
      <c r="X17" s="138"/>
      <c r="Y17" s="138"/>
      <c r="Z17" s="138"/>
      <c r="AA17" s="138"/>
    </row>
    <row r="18" spans="1:27" s="144" customFormat="1" x14ac:dyDescent="0.25">
      <c r="A18" s="139"/>
      <c r="B18" s="140"/>
      <c r="C18" s="139"/>
      <c r="D18" s="141"/>
      <c r="E18" s="141"/>
      <c r="F18" s="138"/>
      <c r="G18" s="138"/>
      <c r="H18" s="138"/>
      <c r="I18" s="138"/>
      <c r="J18" s="141"/>
      <c r="K18" s="142"/>
      <c r="L18" s="138"/>
      <c r="M18" s="138"/>
      <c r="N18" s="138"/>
      <c r="O18" s="139"/>
      <c r="P18" s="139" t="e">
        <f>VLOOKUP(O18,'Source Data Tables'!$G$13:$H$17,2,FALSE)</f>
        <v>#N/A</v>
      </c>
      <c r="Q18" s="139"/>
      <c r="R18" s="139" t="e">
        <f>VLOOKUP(Q18,'Source Data Tables'!$G$5:$H$9,2,FALSE)</f>
        <v>#N/A</v>
      </c>
      <c r="S18" s="143" t="e">
        <f t="shared" si="0"/>
        <v>#N/A</v>
      </c>
      <c r="T18" s="143" t="e">
        <f t="shared" si="1"/>
        <v>#N/A</v>
      </c>
      <c r="U18" s="139"/>
      <c r="V18" s="138"/>
      <c r="W18" s="138"/>
      <c r="X18" s="138"/>
      <c r="Y18" s="138"/>
      <c r="Z18" s="138"/>
      <c r="AA18" s="138"/>
    </row>
    <row r="19" spans="1:27" s="144" customFormat="1" x14ac:dyDescent="0.25">
      <c r="A19" s="139"/>
      <c r="B19" s="140"/>
      <c r="C19" s="139"/>
      <c r="D19" s="141"/>
      <c r="E19" s="141"/>
      <c r="F19" s="138"/>
      <c r="G19" s="138"/>
      <c r="H19" s="138"/>
      <c r="I19" s="138"/>
      <c r="J19" s="141"/>
      <c r="K19" s="142"/>
      <c r="L19" s="138"/>
      <c r="M19" s="138"/>
      <c r="N19" s="138"/>
      <c r="O19" s="139"/>
      <c r="P19" s="139" t="e">
        <f>VLOOKUP(O19,'Source Data Tables'!$G$13:$H$17,2,FALSE)</f>
        <v>#N/A</v>
      </c>
      <c r="Q19" s="139"/>
      <c r="R19" s="139" t="e">
        <f>VLOOKUP(Q19,'Source Data Tables'!$G$5:$H$9,2,FALSE)</f>
        <v>#N/A</v>
      </c>
      <c r="S19" s="143" t="e">
        <f t="shared" si="0"/>
        <v>#N/A</v>
      </c>
      <c r="T19" s="143" t="e">
        <f t="shared" si="1"/>
        <v>#N/A</v>
      </c>
      <c r="U19" s="139"/>
      <c r="V19" s="138"/>
      <c r="W19" s="138"/>
      <c r="X19" s="138"/>
      <c r="Y19" s="138"/>
      <c r="Z19" s="138"/>
      <c r="AA19" s="138"/>
    </row>
    <row r="20" spans="1:27" s="144" customFormat="1" x14ac:dyDescent="0.25">
      <c r="A20" s="139"/>
      <c r="B20" s="140"/>
      <c r="C20" s="139"/>
      <c r="D20" s="141"/>
      <c r="E20" s="141"/>
      <c r="F20" s="138"/>
      <c r="G20" s="138"/>
      <c r="H20" s="138"/>
      <c r="I20" s="138"/>
      <c r="J20" s="141"/>
      <c r="K20" s="142"/>
      <c r="L20" s="138"/>
      <c r="M20" s="138"/>
      <c r="N20" s="138"/>
      <c r="O20" s="139"/>
      <c r="P20" s="139" t="e">
        <f>VLOOKUP(O20,'Source Data Tables'!$G$13:$H$17,2,FALSE)</f>
        <v>#N/A</v>
      </c>
      <c r="Q20" s="139"/>
      <c r="R20" s="139" t="e">
        <f>VLOOKUP(Q20,'Source Data Tables'!$G$5:$H$9,2,FALSE)</f>
        <v>#N/A</v>
      </c>
      <c r="S20" s="143" t="e">
        <f t="shared" si="0"/>
        <v>#N/A</v>
      </c>
      <c r="T20" s="143" t="e">
        <f t="shared" si="1"/>
        <v>#N/A</v>
      </c>
      <c r="U20" s="139"/>
      <c r="V20" s="138"/>
      <c r="W20" s="138"/>
      <c r="X20" s="138"/>
      <c r="Y20" s="138"/>
      <c r="Z20" s="138"/>
      <c r="AA20" s="138"/>
    </row>
    <row r="21" spans="1:27" s="144" customFormat="1" x14ac:dyDescent="0.25">
      <c r="A21" s="151"/>
      <c r="B21" s="140"/>
      <c r="C21" s="139"/>
      <c r="D21" s="141"/>
      <c r="E21" s="141"/>
      <c r="F21" s="138"/>
      <c r="G21" s="138"/>
      <c r="H21" s="138"/>
      <c r="I21" s="138"/>
      <c r="J21" s="141"/>
      <c r="K21" s="142"/>
      <c r="L21" s="138"/>
      <c r="M21" s="138"/>
      <c r="N21" s="138"/>
      <c r="O21" s="139"/>
      <c r="P21" s="139" t="e">
        <f>VLOOKUP(O21,'Source Data Tables'!$G$13:$H$17,2,FALSE)</f>
        <v>#N/A</v>
      </c>
      <c r="Q21" s="139"/>
      <c r="R21" s="139" t="e">
        <f>VLOOKUP(Q21,'Source Data Tables'!$G$5:$H$9,2,FALSE)</f>
        <v>#N/A</v>
      </c>
      <c r="S21" s="143" t="e">
        <f t="shared" si="0"/>
        <v>#N/A</v>
      </c>
      <c r="T21" s="143" t="e">
        <f t="shared" si="1"/>
        <v>#N/A</v>
      </c>
      <c r="U21" s="139"/>
      <c r="V21" s="138"/>
      <c r="W21" s="138"/>
      <c r="X21" s="138"/>
      <c r="Y21" s="138"/>
      <c r="Z21" s="138"/>
      <c r="AA21" s="138"/>
    </row>
    <row r="22" spans="1:27" s="144" customFormat="1" x14ac:dyDescent="0.25">
      <c r="A22" s="151"/>
      <c r="B22" s="140"/>
      <c r="C22" s="139"/>
      <c r="D22" s="141"/>
      <c r="E22" s="138"/>
      <c r="F22" s="138"/>
      <c r="G22" s="138"/>
      <c r="H22" s="138"/>
      <c r="I22" s="138"/>
      <c r="J22" s="141"/>
      <c r="K22" s="142"/>
      <c r="L22" s="138"/>
      <c r="M22" s="138"/>
      <c r="N22" s="138"/>
      <c r="O22" s="139"/>
      <c r="P22" s="139" t="e">
        <f>VLOOKUP(O22,'Source Data Tables'!$G$13:$H$17,2,FALSE)</f>
        <v>#N/A</v>
      </c>
      <c r="Q22" s="139"/>
      <c r="R22" s="139" t="e">
        <f>VLOOKUP(Q22,'Source Data Tables'!$G$5:$H$9,2,FALSE)</f>
        <v>#N/A</v>
      </c>
      <c r="S22" s="143" t="e">
        <f t="shared" si="0"/>
        <v>#N/A</v>
      </c>
      <c r="T22" s="143" t="e">
        <f t="shared" si="1"/>
        <v>#N/A</v>
      </c>
      <c r="U22" s="139"/>
      <c r="V22" s="138"/>
      <c r="W22" s="138"/>
      <c r="X22" s="138"/>
      <c r="Y22" s="138"/>
      <c r="Z22" s="138"/>
      <c r="AA22" s="138"/>
    </row>
    <row r="23" spans="1:27" s="144" customFormat="1" x14ac:dyDescent="0.25">
      <c r="A23" s="151"/>
      <c r="B23" s="140"/>
      <c r="C23" s="139"/>
      <c r="D23" s="141"/>
      <c r="E23" s="141"/>
      <c r="F23" s="138"/>
      <c r="G23" s="138"/>
      <c r="H23" s="138"/>
      <c r="I23" s="138"/>
      <c r="J23" s="141"/>
      <c r="K23" s="142"/>
      <c r="L23" s="138"/>
      <c r="M23" s="138"/>
      <c r="N23" s="138"/>
      <c r="O23" s="139"/>
      <c r="P23" s="139" t="e">
        <f>VLOOKUP(O23,'Source Data Tables'!$G$13:$H$17,2,FALSE)</f>
        <v>#N/A</v>
      </c>
      <c r="Q23" s="139"/>
      <c r="R23" s="139" t="e">
        <f>VLOOKUP(Q23,'Source Data Tables'!$G$5:$H$9,2,FALSE)</f>
        <v>#N/A</v>
      </c>
      <c r="S23" s="143" t="e">
        <f t="shared" si="0"/>
        <v>#N/A</v>
      </c>
      <c r="T23" s="143" t="e">
        <f t="shared" si="1"/>
        <v>#N/A</v>
      </c>
      <c r="U23" s="139"/>
      <c r="V23" s="138"/>
      <c r="W23" s="138"/>
      <c r="X23" s="138"/>
      <c r="Y23" s="138"/>
      <c r="Z23" s="138"/>
      <c r="AA23" s="138"/>
    </row>
    <row r="24" spans="1:27" s="144" customFormat="1" x14ac:dyDescent="0.25">
      <c r="A24" s="151"/>
      <c r="B24" s="140"/>
      <c r="C24" s="139"/>
      <c r="D24" s="141"/>
      <c r="E24" s="141"/>
      <c r="F24" s="138"/>
      <c r="G24" s="138"/>
      <c r="H24" s="138"/>
      <c r="I24" s="138"/>
      <c r="J24" s="141"/>
      <c r="K24" s="142"/>
      <c r="L24" s="138"/>
      <c r="M24" s="138"/>
      <c r="N24" s="138"/>
      <c r="O24" s="139"/>
      <c r="P24" s="139" t="e">
        <f>VLOOKUP(O24,'Source Data Tables'!$G$13:$H$17,2,FALSE)</f>
        <v>#N/A</v>
      </c>
      <c r="Q24" s="139"/>
      <c r="R24" s="139" t="e">
        <f>VLOOKUP(Q24,'Source Data Tables'!$G$5:$H$9,2,FALSE)</f>
        <v>#N/A</v>
      </c>
      <c r="S24" s="143" t="e">
        <f t="shared" si="0"/>
        <v>#N/A</v>
      </c>
      <c r="T24" s="143" t="e">
        <f t="shared" si="1"/>
        <v>#N/A</v>
      </c>
      <c r="U24" s="139"/>
      <c r="V24" s="138"/>
      <c r="W24" s="138"/>
      <c r="X24" s="138"/>
      <c r="Y24" s="138"/>
      <c r="Z24" s="138"/>
      <c r="AA24" s="138"/>
    </row>
    <row r="25" spans="1:27" s="144" customFormat="1" x14ac:dyDescent="0.25">
      <c r="A25" s="151"/>
      <c r="B25" s="140"/>
      <c r="C25" s="139"/>
      <c r="D25" s="141"/>
      <c r="E25" s="141"/>
      <c r="F25" s="138"/>
      <c r="G25" s="138"/>
      <c r="H25" s="138"/>
      <c r="I25" s="138"/>
      <c r="J25" s="141"/>
      <c r="K25" s="142"/>
      <c r="L25" s="138"/>
      <c r="M25" s="138"/>
      <c r="N25" s="138"/>
      <c r="O25" s="139"/>
      <c r="P25" s="139" t="e">
        <f>VLOOKUP(O25,'Source Data Tables'!$G$13:$H$17,2,FALSE)</f>
        <v>#N/A</v>
      </c>
      <c r="Q25" s="139"/>
      <c r="R25" s="139" t="e">
        <f>VLOOKUP(Q25,'Source Data Tables'!$G$5:$H$9,2,FALSE)</f>
        <v>#N/A</v>
      </c>
      <c r="S25" s="143" t="e">
        <f t="shared" si="0"/>
        <v>#N/A</v>
      </c>
      <c r="T25" s="143" t="e">
        <f t="shared" si="1"/>
        <v>#N/A</v>
      </c>
      <c r="U25" s="139"/>
      <c r="V25" s="138"/>
      <c r="W25" s="138"/>
      <c r="X25" s="138"/>
      <c r="Y25" s="138"/>
      <c r="Z25" s="138"/>
      <c r="AA25" s="138"/>
    </row>
    <row r="26" spans="1:27" s="144" customFormat="1" x14ac:dyDescent="0.25">
      <c r="A26" s="151"/>
      <c r="B26" s="140"/>
      <c r="C26" s="139"/>
      <c r="D26" s="141"/>
      <c r="E26" s="141"/>
      <c r="F26" s="138"/>
      <c r="G26" s="138"/>
      <c r="H26" s="138"/>
      <c r="I26" s="138"/>
      <c r="J26" s="141"/>
      <c r="K26" s="142"/>
      <c r="L26" s="138"/>
      <c r="M26" s="138"/>
      <c r="N26" s="138"/>
      <c r="O26" s="139"/>
      <c r="P26" s="139" t="e">
        <f>VLOOKUP(O26,'Source Data Tables'!$G$13:$H$17,2,FALSE)</f>
        <v>#N/A</v>
      </c>
      <c r="Q26" s="139"/>
      <c r="R26" s="139" t="e">
        <f>VLOOKUP(Q26,'Source Data Tables'!$G$5:$H$9,2,FALSE)</f>
        <v>#N/A</v>
      </c>
      <c r="S26" s="143" t="e">
        <f t="shared" si="0"/>
        <v>#N/A</v>
      </c>
      <c r="T26" s="143" t="e">
        <f t="shared" si="1"/>
        <v>#N/A</v>
      </c>
      <c r="U26" s="139"/>
      <c r="V26" s="138"/>
      <c r="W26" s="138"/>
      <c r="X26" s="138"/>
      <c r="Y26" s="138"/>
      <c r="Z26" s="138"/>
      <c r="AA26" s="138"/>
    </row>
    <row r="27" spans="1:27" s="144" customFormat="1" x14ac:dyDescent="0.25">
      <c r="A27" s="151"/>
      <c r="B27" s="140"/>
      <c r="C27" s="139"/>
      <c r="D27" s="141"/>
      <c r="E27" s="138"/>
      <c r="F27" s="138"/>
      <c r="G27" s="138"/>
      <c r="H27" s="138"/>
      <c r="I27" s="138"/>
      <c r="J27" s="141"/>
      <c r="K27" s="142"/>
      <c r="L27" s="138"/>
      <c r="M27" s="138"/>
      <c r="N27" s="138"/>
      <c r="O27" s="139"/>
      <c r="P27" s="139" t="e">
        <f>VLOOKUP(O27,'Source Data Tables'!$G$13:$H$17,2,FALSE)</f>
        <v>#N/A</v>
      </c>
      <c r="Q27" s="139"/>
      <c r="R27" s="139" t="e">
        <f>VLOOKUP(Q27,'Source Data Tables'!$G$5:$H$9,2,FALSE)</f>
        <v>#N/A</v>
      </c>
      <c r="S27" s="143" t="e">
        <f t="shared" si="0"/>
        <v>#N/A</v>
      </c>
      <c r="T27" s="143" t="e">
        <f t="shared" si="1"/>
        <v>#N/A</v>
      </c>
      <c r="U27" s="139"/>
      <c r="V27" s="138"/>
      <c r="W27" s="138"/>
      <c r="X27" s="138"/>
      <c r="Y27" s="138"/>
      <c r="Z27" s="138"/>
      <c r="AA27" s="138"/>
    </row>
    <row r="28" spans="1:27" s="144" customFormat="1" x14ac:dyDescent="0.25">
      <c r="A28" s="151"/>
      <c r="B28" s="140"/>
      <c r="C28" s="139"/>
      <c r="D28" s="141"/>
      <c r="E28" s="141"/>
      <c r="F28" s="138"/>
      <c r="G28" s="138"/>
      <c r="H28" s="138"/>
      <c r="I28" s="138"/>
      <c r="J28" s="141"/>
      <c r="K28" s="142"/>
      <c r="L28" s="138"/>
      <c r="M28" s="138"/>
      <c r="N28" s="138"/>
      <c r="O28" s="139"/>
      <c r="P28" s="139" t="e">
        <f>VLOOKUP(O28,'Source Data Tables'!$G$13:$H$17,2,FALSE)</f>
        <v>#N/A</v>
      </c>
      <c r="Q28" s="139"/>
      <c r="R28" s="139" t="e">
        <f>VLOOKUP(Q28,'Source Data Tables'!$G$5:$H$9,2,FALSE)</f>
        <v>#N/A</v>
      </c>
      <c r="S28" s="143" t="e">
        <f t="shared" si="0"/>
        <v>#N/A</v>
      </c>
      <c r="T28" s="143" t="e">
        <f t="shared" si="1"/>
        <v>#N/A</v>
      </c>
      <c r="U28" s="139"/>
      <c r="V28" s="138"/>
      <c r="W28" s="138"/>
      <c r="X28" s="138"/>
      <c r="Y28" s="138"/>
      <c r="Z28" s="138"/>
      <c r="AA28" s="138"/>
    </row>
    <row r="29" spans="1:27" s="144" customFormat="1" x14ac:dyDescent="0.25">
      <c r="A29" s="151"/>
      <c r="B29" s="140"/>
      <c r="C29" s="139"/>
      <c r="D29" s="141"/>
      <c r="E29" s="141"/>
      <c r="F29" s="138"/>
      <c r="G29" s="138"/>
      <c r="H29" s="138"/>
      <c r="I29" s="138"/>
      <c r="J29" s="141"/>
      <c r="K29" s="142"/>
      <c r="L29" s="138"/>
      <c r="M29" s="138"/>
      <c r="N29" s="138"/>
      <c r="O29" s="139"/>
      <c r="P29" s="139" t="e">
        <f>VLOOKUP(O29,'Source Data Tables'!$G$13:$H$17,2,FALSE)</f>
        <v>#N/A</v>
      </c>
      <c r="Q29" s="139"/>
      <c r="R29" s="139" t="e">
        <f>VLOOKUP(Q29,'Source Data Tables'!$G$5:$H$9,2,FALSE)</f>
        <v>#N/A</v>
      </c>
      <c r="S29" s="143" t="e">
        <f t="shared" si="0"/>
        <v>#N/A</v>
      </c>
      <c r="T29" s="143" t="e">
        <f t="shared" si="1"/>
        <v>#N/A</v>
      </c>
      <c r="U29" s="139"/>
      <c r="V29" s="138"/>
      <c r="W29" s="138"/>
      <c r="X29" s="138"/>
      <c r="Y29" s="138"/>
      <c r="Z29" s="138"/>
      <c r="AA29" s="138"/>
    </row>
    <row r="30" spans="1:27" s="144" customFormat="1" x14ac:dyDescent="0.25">
      <c r="A30" s="151"/>
      <c r="B30" s="140"/>
      <c r="C30" s="139"/>
      <c r="D30" s="141"/>
      <c r="E30" s="141"/>
      <c r="F30" s="138"/>
      <c r="G30" s="138"/>
      <c r="H30" s="138"/>
      <c r="I30" s="138"/>
      <c r="J30" s="141"/>
      <c r="K30" s="142"/>
      <c r="L30" s="138"/>
      <c r="M30" s="138"/>
      <c r="N30" s="138"/>
      <c r="O30" s="139"/>
      <c r="P30" s="139" t="e">
        <f>VLOOKUP(O30,'Source Data Tables'!$G$13:$H$17,2,FALSE)</f>
        <v>#N/A</v>
      </c>
      <c r="Q30" s="139"/>
      <c r="R30" s="139" t="e">
        <f>VLOOKUP(Q30,'Source Data Tables'!$G$5:$H$9,2,FALSE)</f>
        <v>#N/A</v>
      </c>
      <c r="S30" s="143" t="e">
        <f t="shared" si="0"/>
        <v>#N/A</v>
      </c>
      <c r="T30" s="143" t="e">
        <f t="shared" si="1"/>
        <v>#N/A</v>
      </c>
      <c r="U30" s="139"/>
      <c r="V30" s="138"/>
      <c r="W30" s="138"/>
      <c r="X30" s="138"/>
      <c r="Y30" s="138"/>
      <c r="Z30" s="138"/>
      <c r="AA30" s="138"/>
    </row>
    <row r="31" spans="1:27" s="144" customFormat="1" x14ac:dyDescent="0.25">
      <c r="A31" s="151"/>
      <c r="B31" s="140"/>
      <c r="C31" s="139"/>
      <c r="D31" s="141"/>
      <c r="E31" s="141"/>
      <c r="F31" s="138"/>
      <c r="G31" s="138"/>
      <c r="H31" s="138"/>
      <c r="I31" s="138"/>
      <c r="J31" s="141"/>
      <c r="K31" s="142"/>
      <c r="L31" s="138"/>
      <c r="M31" s="138"/>
      <c r="N31" s="138"/>
      <c r="O31" s="139"/>
      <c r="P31" s="139" t="e">
        <f>VLOOKUP(O31,'Source Data Tables'!$G$13:$H$17,2,FALSE)</f>
        <v>#N/A</v>
      </c>
      <c r="Q31" s="139"/>
      <c r="R31" s="139" t="e">
        <f>VLOOKUP(Q31,'Source Data Tables'!$G$5:$H$9,2,FALSE)</f>
        <v>#N/A</v>
      </c>
      <c r="S31" s="143" t="e">
        <f t="shared" si="0"/>
        <v>#N/A</v>
      </c>
      <c r="T31" s="143" t="e">
        <f t="shared" si="1"/>
        <v>#N/A</v>
      </c>
      <c r="U31" s="139"/>
      <c r="V31" s="138"/>
      <c r="W31" s="138"/>
      <c r="X31" s="138"/>
      <c r="Y31" s="138"/>
      <c r="Z31" s="138"/>
      <c r="AA31" s="138"/>
    </row>
    <row r="32" spans="1:27" s="144" customFormat="1" x14ac:dyDescent="0.25">
      <c r="A32" s="151"/>
      <c r="B32" s="140"/>
      <c r="C32" s="139"/>
      <c r="D32" s="141"/>
      <c r="E32" s="138"/>
      <c r="F32" s="138"/>
      <c r="G32" s="138"/>
      <c r="H32" s="138"/>
      <c r="I32" s="138"/>
      <c r="J32" s="138"/>
      <c r="K32" s="142"/>
      <c r="L32" s="138"/>
      <c r="M32" s="138"/>
      <c r="N32" s="138"/>
      <c r="O32" s="139"/>
      <c r="P32" s="139" t="e">
        <f>VLOOKUP(O32,'Source Data Tables'!$G$13:$H$17,2,FALSE)</f>
        <v>#N/A</v>
      </c>
      <c r="Q32" s="139"/>
      <c r="R32" s="139" t="e">
        <f>VLOOKUP(Q32,'Source Data Tables'!$G$5:$H$9,2,FALSE)</f>
        <v>#N/A</v>
      </c>
      <c r="S32" s="143" t="e">
        <f t="shared" si="0"/>
        <v>#N/A</v>
      </c>
      <c r="T32" s="143" t="e">
        <f t="shared" si="1"/>
        <v>#N/A</v>
      </c>
      <c r="U32" s="139"/>
      <c r="V32" s="138"/>
      <c r="W32" s="138"/>
      <c r="X32" s="138"/>
      <c r="Y32" s="138"/>
      <c r="Z32" s="138"/>
      <c r="AA32" s="141"/>
    </row>
    <row r="33" spans="1:27" s="144" customFormat="1" x14ac:dyDescent="0.25">
      <c r="A33" s="151"/>
      <c r="B33" s="140"/>
      <c r="C33" s="139"/>
      <c r="D33" s="138"/>
      <c r="E33" s="138"/>
      <c r="F33" s="138"/>
      <c r="G33" s="138"/>
      <c r="H33" s="138"/>
      <c r="I33" s="138"/>
      <c r="J33" s="138"/>
      <c r="K33" s="142"/>
      <c r="L33" s="138"/>
      <c r="M33" s="138"/>
      <c r="N33" s="138"/>
      <c r="O33" s="139"/>
      <c r="P33" s="139" t="e">
        <f>VLOOKUP(O33,'Source Data Tables'!$G$13:$H$17,2,FALSE)</f>
        <v>#N/A</v>
      </c>
      <c r="Q33" s="139"/>
      <c r="R33" s="139" t="e">
        <f>VLOOKUP(Q33,'Source Data Tables'!$G$5:$H$9,2,FALSE)</f>
        <v>#N/A</v>
      </c>
      <c r="S33" s="143" t="e">
        <f t="shared" si="0"/>
        <v>#N/A</v>
      </c>
      <c r="T33" s="143" t="e">
        <f t="shared" si="1"/>
        <v>#N/A</v>
      </c>
      <c r="U33" s="139"/>
      <c r="V33" s="138"/>
      <c r="W33" s="138"/>
      <c r="X33" s="138"/>
      <c r="Y33" s="138"/>
      <c r="Z33" s="138"/>
      <c r="AA33" s="138"/>
    </row>
    <row r="34" spans="1:27" s="144" customFormat="1" x14ac:dyDescent="0.25">
      <c r="A34" s="139"/>
      <c r="B34" s="140"/>
      <c r="C34" s="139"/>
      <c r="D34" s="138"/>
      <c r="E34" s="138"/>
      <c r="F34" s="138"/>
      <c r="G34" s="138"/>
      <c r="H34" s="138"/>
      <c r="I34" s="138"/>
      <c r="J34" s="138"/>
      <c r="K34" s="142"/>
      <c r="L34" s="138"/>
      <c r="M34" s="138"/>
      <c r="N34" s="138"/>
      <c r="O34" s="139"/>
      <c r="P34" s="139" t="e">
        <f>VLOOKUP(O34,'Source Data Tables'!$G$13:$H$17,2,FALSE)</f>
        <v>#N/A</v>
      </c>
      <c r="Q34" s="139"/>
      <c r="R34" s="139" t="e">
        <f>VLOOKUP(Q34,'Source Data Tables'!$G$5:$H$9,2,FALSE)</f>
        <v>#N/A</v>
      </c>
      <c r="S34" s="143" t="e">
        <f t="shared" si="0"/>
        <v>#N/A</v>
      </c>
      <c r="T34" s="143" t="e">
        <f t="shared" si="1"/>
        <v>#N/A</v>
      </c>
      <c r="U34" s="139"/>
      <c r="V34" s="138"/>
      <c r="W34" s="138"/>
      <c r="X34" s="138"/>
      <c r="Y34" s="142"/>
      <c r="Z34" s="138"/>
      <c r="AA34" s="138"/>
    </row>
    <row r="35" spans="1:27" s="152" customFormat="1" x14ac:dyDescent="0.25">
      <c r="A35" s="139"/>
      <c r="B35" s="140"/>
      <c r="C35" s="139"/>
      <c r="D35" s="141"/>
      <c r="E35" s="141"/>
      <c r="F35" s="138"/>
      <c r="G35" s="138"/>
      <c r="H35" s="138"/>
      <c r="I35" s="138"/>
      <c r="J35" s="141"/>
      <c r="K35" s="142"/>
      <c r="L35" s="138"/>
      <c r="M35" s="138"/>
      <c r="N35" s="138"/>
      <c r="O35" s="139"/>
      <c r="P35" s="139" t="e">
        <f>VLOOKUP(O35,'Source Data Tables'!$G$13:$H$17,2,FALSE)</f>
        <v>#N/A</v>
      </c>
      <c r="Q35" s="139"/>
      <c r="R35" s="139" t="e">
        <f>VLOOKUP(Q35,'Source Data Tables'!$G$5:$H$9,2,FALSE)</f>
        <v>#N/A</v>
      </c>
      <c r="S35" s="143" t="e">
        <f t="shared" si="0"/>
        <v>#N/A</v>
      </c>
      <c r="T35" s="143" t="e">
        <f t="shared" si="1"/>
        <v>#N/A</v>
      </c>
      <c r="U35" s="139"/>
      <c r="V35" s="138"/>
      <c r="W35" s="138"/>
      <c r="X35" s="138"/>
      <c r="Y35" s="138"/>
      <c r="Z35" s="138"/>
      <c r="AA35" s="138"/>
    </row>
    <row r="36" spans="1:27" s="152" customFormat="1" x14ac:dyDescent="0.25">
      <c r="A36" s="139"/>
      <c r="B36" s="140"/>
      <c r="C36" s="139"/>
      <c r="D36" s="141"/>
      <c r="E36" s="141"/>
      <c r="F36" s="138"/>
      <c r="G36" s="138"/>
      <c r="H36" s="138"/>
      <c r="I36" s="138"/>
      <c r="J36" s="141"/>
      <c r="K36" s="142"/>
      <c r="L36" s="138"/>
      <c r="M36" s="138"/>
      <c r="N36" s="138"/>
      <c r="O36" s="139"/>
      <c r="P36" s="139" t="e">
        <f>VLOOKUP(O36,'Source Data Tables'!$G$13:$H$17,2,FALSE)</f>
        <v>#N/A</v>
      </c>
      <c r="Q36" s="139"/>
      <c r="R36" s="139" t="e">
        <f>VLOOKUP(Q36,'Source Data Tables'!$G$5:$H$9,2,FALSE)</f>
        <v>#N/A</v>
      </c>
      <c r="S36" s="143" t="e">
        <f t="shared" si="0"/>
        <v>#N/A</v>
      </c>
      <c r="T36" s="143" t="e">
        <f t="shared" si="1"/>
        <v>#N/A</v>
      </c>
      <c r="U36" s="139"/>
      <c r="V36" s="138"/>
      <c r="W36" s="138"/>
      <c r="X36" s="138"/>
      <c r="Y36" s="138"/>
      <c r="Z36" s="138"/>
      <c r="AA36" s="138"/>
    </row>
    <row r="37" spans="1:27" s="144" customFormat="1" x14ac:dyDescent="0.25">
      <c r="A37" s="139"/>
      <c r="B37" s="140"/>
      <c r="C37" s="139"/>
      <c r="D37" s="138"/>
      <c r="E37" s="141"/>
      <c r="F37" s="138"/>
      <c r="G37" s="138"/>
      <c r="H37" s="138"/>
      <c r="I37" s="138"/>
      <c r="J37" s="138"/>
      <c r="K37" s="142"/>
      <c r="L37" s="138"/>
      <c r="M37" s="138"/>
      <c r="N37" s="138"/>
      <c r="O37" s="139"/>
      <c r="P37" s="139" t="e">
        <f>VLOOKUP(O37,'Source Data Tables'!$G$13:$H$17,2,FALSE)</f>
        <v>#N/A</v>
      </c>
      <c r="Q37" s="139"/>
      <c r="R37" s="139" t="e">
        <f>VLOOKUP(Q37,'Source Data Tables'!$G$5:$H$9,2,FALSE)</f>
        <v>#N/A</v>
      </c>
      <c r="S37" s="143" t="e">
        <f t="shared" si="0"/>
        <v>#N/A</v>
      </c>
      <c r="T37" s="143" t="e">
        <f t="shared" si="1"/>
        <v>#N/A</v>
      </c>
      <c r="U37" s="139"/>
      <c r="V37" s="138"/>
      <c r="W37" s="138"/>
      <c r="X37" s="138"/>
      <c r="Y37" s="138"/>
      <c r="Z37" s="138"/>
      <c r="AA37" s="153"/>
    </row>
    <row r="38" spans="1:27" s="144" customFormat="1" x14ac:dyDescent="0.25">
      <c r="A38" s="139"/>
      <c r="B38" s="140"/>
      <c r="C38" s="139"/>
      <c r="D38" s="138"/>
      <c r="E38" s="138"/>
      <c r="F38" s="138"/>
      <c r="G38" s="138"/>
      <c r="H38" s="138"/>
      <c r="I38" s="138"/>
      <c r="J38" s="138"/>
      <c r="K38" s="142"/>
      <c r="L38" s="138"/>
      <c r="M38" s="138"/>
      <c r="N38" s="138"/>
      <c r="O38" s="139"/>
      <c r="P38" s="139" t="e">
        <f>VLOOKUP(O38,'Source Data Tables'!$G$13:$H$17,2,FALSE)</f>
        <v>#N/A</v>
      </c>
      <c r="Q38" s="139"/>
      <c r="R38" s="139" t="e">
        <f>VLOOKUP(Q38,'Source Data Tables'!$G$5:$H$9,2,FALSE)</f>
        <v>#N/A</v>
      </c>
      <c r="S38" s="143" t="e">
        <f t="shared" si="0"/>
        <v>#N/A</v>
      </c>
      <c r="T38" s="143" t="e">
        <f t="shared" si="1"/>
        <v>#N/A</v>
      </c>
      <c r="U38" s="139"/>
      <c r="V38" s="138"/>
      <c r="W38" s="138"/>
      <c r="X38" s="138"/>
      <c r="Y38" s="138"/>
      <c r="Z38" s="138"/>
      <c r="AA38" s="153"/>
    </row>
    <row r="39" spans="1:27" s="152" customFormat="1" x14ac:dyDescent="0.25">
      <c r="A39" s="139"/>
      <c r="B39" s="140"/>
      <c r="C39" s="139"/>
      <c r="D39" s="141"/>
      <c r="E39" s="141"/>
      <c r="F39" s="138"/>
      <c r="G39" s="138"/>
      <c r="H39" s="138"/>
      <c r="I39" s="138"/>
      <c r="J39" s="138"/>
      <c r="K39" s="142"/>
      <c r="L39" s="138"/>
      <c r="M39" s="138"/>
      <c r="N39" s="138"/>
      <c r="O39" s="139"/>
      <c r="P39" s="139" t="e">
        <f>VLOOKUP(O39,'Source Data Tables'!$G$13:$H$17,2,FALSE)</f>
        <v>#N/A</v>
      </c>
      <c r="Q39" s="139"/>
      <c r="R39" s="139" t="e">
        <f>VLOOKUP(Q39,'Source Data Tables'!$G$5:$H$9,2,FALSE)</f>
        <v>#N/A</v>
      </c>
      <c r="S39" s="143" t="e">
        <f t="shared" si="0"/>
        <v>#N/A</v>
      </c>
      <c r="T39" s="143" t="e">
        <f t="shared" si="1"/>
        <v>#N/A</v>
      </c>
      <c r="U39" s="139"/>
      <c r="V39" s="138"/>
      <c r="W39" s="138"/>
      <c r="X39" s="138"/>
      <c r="Y39" s="138"/>
      <c r="Z39" s="138"/>
      <c r="AA39" s="138"/>
    </row>
    <row r="40" spans="1:27" s="144" customFormat="1" x14ac:dyDescent="0.25">
      <c r="A40" s="139"/>
      <c r="B40" s="140"/>
      <c r="C40" s="139"/>
      <c r="D40" s="138"/>
      <c r="E40" s="138"/>
      <c r="F40" s="138"/>
      <c r="G40" s="138"/>
      <c r="H40" s="138"/>
      <c r="I40" s="138"/>
      <c r="J40" s="138"/>
      <c r="K40" s="138"/>
      <c r="L40" s="138"/>
      <c r="M40" s="138"/>
      <c r="N40" s="138"/>
      <c r="O40" s="139"/>
      <c r="P40" s="139" t="e">
        <f>VLOOKUP(O40,'Source Data Tables'!$G$13:$H$17,2,FALSE)</f>
        <v>#N/A</v>
      </c>
      <c r="Q40" s="139"/>
      <c r="R40" s="139" t="e">
        <f>VLOOKUP(Q40,'Source Data Tables'!$G$5:$H$9,2,FALSE)</f>
        <v>#N/A</v>
      </c>
      <c r="S40" s="143" t="e">
        <f t="shared" si="0"/>
        <v>#N/A</v>
      </c>
      <c r="T40" s="143" t="e">
        <f t="shared" si="1"/>
        <v>#N/A</v>
      </c>
      <c r="U40" s="139"/>
      <c r="V40" s="138"/>
      <c r="W40" s="138"/>
      <c r="X40" s="138"/>
      <c r="Y40" s="138"/>
      <c r="Z40" s="138"/>
      <c r="AA40" s="138"/>
    </row>
    <row r="41" spans="1:27" s="144" customFormat="1" x14ac:dyDescent="0.25">
      <c r="A41" s="139"/>
      <c r="B41" s="140"/>
      <c r="C41" s="139"/>
      <c r="D41" s="138"/>
      <c r="E41" s="138"/>
      <c r="F41" s="138"/>
      <c r="G41" s="138"/>
      <c r="H41" s="138"/>
      <c r="I41" s="138"/>
      <c r="J41" s="138"/>
      <c r="K41" s="138"/>
      <c r="L41" s="138"/>
      <c r="M41" s="138"/>
      <c r="N41" s="138"/>
      <c r="O41" s="139"/>
      <c r="P41" s="139" t="e">
        <f>VLOOKUP(O41,'Source Data Tables'!$G$13:$H$17,2,FALSE)</f>
        <v>#N/A</v>
      </c>
      <c r="Q41" s="139"/>
      <c r="R41" s="139" t="e">
        <f>VLOOKUP(Q41,'Source Data Tables'!$G$5:$H$9,2,FALSE)</f>
        <v>#N/A</v>
      </c>
      <c r="S41" s="143" t="e">
        <f t="shared" si="0"/>
        <v>#N/A</v>
      </c>
      <c r="T41" s="143" t="e">
        <f t="shared" si="1"/>
        <v>#N/A</v>
      </c>
      <c r="U41" s="139"/>
      <c r="V41" s="138"/>
      <c r="W41" s="138"/>
      <c r="X41" s="138"/>
      <c r="Y41" s="138"/>
      <c r="Z41" s="138"/>
      <c r="AA41" s="138"/>
    </row>
    <row r="42" spans="1:27" s="144" customFormat="1" x14ac:dyDescent="0.25">
      <c r="A42" s="139"/>
      <c r="B42" s="140"/>
      <c r="C42" s="139"/>
      <c r="D42" s="138"/>
      <c r="E42" s="138"/>
      <c r="F42" s="138"/>
      <c r="G42" s="138"/>
      <c r="H42" s="138"/>
      <c r="I42" s="138"/>
      <c r="J42" s="138"/>
      <c r="K42" s="142"/>
      <c r="L42" s="138"/>
      <c r="M42" s="138"/>
      <c r="N42" s="138"/>
      <c r="O42" s="139"/>
      <c r="P42" s="139" t="e">
        <f>VLOOKUP(O42,'Source Data Tables'!$G$13:$H$17,2,FALSE)</f>
        <v>#N/A</v>
      </c>
      <c r="Q42" s="139"/>
      <c r="R42" s="139" t="e">
        <f>VLOOKUP(Q42,'Source Data Tables'!$G$5:$H$9,2,FALSE)</f>
        <v>#N/A</v>
      </c>
      <c r="S42" s="143" t="e">
        <f t="shared" si="0"/>
        <v>#N/A</v>
      </c>
      <c r="T42" s="143" t="e">
        <f t="shared" si="1"/>
        <v>#N/A</v>
      </c>
      <c r="U42" s="139"/>
      <c r="V42" s="138"/>
      <c r="W42" s="138"/>
      <c r="X42" s="138"/>
      <c r="Y42" s="138"/>
      <c r="Z42" s="138"/>
      <c r="AA42" s="138"/>
    </row>
    <row r="43" spans="1:27" s="144" customFormat="1" x14ac:dyDescent="0.25">
      <c r="A43" s="139"/>
      <c r="B43" s="140"/>
      <c r="C43" s="139"/>
      <c r="D43" s="138"/>
      <c r="E43" s="138"/>
      <c r="F43" s="138"/>
      <c r="G43" s="138"/>
      <c r="H43" s="138"/>
      <c r="I43" s="138"/>
      <c r="J43" s="138"/>
      <c r="K43" s="138"/>
      <c r="L43" s="138"/>
      <c r="M43" s="138"/>
      <c r="N43" s="138"/>
      <c r="O43" s="139"/>
      <c r="P43" s="139" t="e">
        <f>VLOOKUP(O43,'Source Data Tables'!$G$13:$H$17,2,FALSE)</f>
        <v>#N/A</v>
      </c>
      <c r="Q43" s="139"/>
      <c r="R43" s="139" t="e">
        <f>VLOOKUP(Q43,'Source Data Tables'!$G$5:$H$9,2,FALSE)</f>
        <v>#N/A</v>
      </c>
      <c r="S43" s="143" t="e">
        <f t="shared" si="0"/>
        <v>#N/A</v>
      </c>
      <c r="T43" s="143" t="e">
        <f t="shared" si="1"/>
        <v>#N/A</v>
      </c>
      <c r="U43" s="139"/>
      <c r="V43" s="138"/>
      <c r="W43" s="138"/>
      <c r="X43" s="138"/>
      <c r="Y43" s="138"/>
      <c r="Z43" s="138"/>
      <c r="AA43" s="138"/>
    </row>
    <row r="44" spans="1:27" s="144" customFormat="1" x14ac:dyDescent="0.25">
      <c r="A44" s="139"/>
      <c r="B44" s="140"/>
      <c r="C44" s="139"/>
      <c r="D44" s="138"/>
      <c r="E44" s="138"/>
      <c r="F44" s="138"/>
      <c r="G44" s="138"/>
      <c r="H44" s="138"/>
      <c r="I44" s="138"/>
      <c r="J44" s="138"/>
      <c r="K44" s="142"/>
      <c r="L44" s="138"/>
      <c r="M44" s="138"/>
      <c r="N44" s="138"/>
      <c r="O44" s="139"/>
      <c r="P44" s="139" t="e">
        <f>VLOOKUP(O44,'Source Data Tables'!$G$13:$H$17,2,FALSE)</f>
        <v>#N/A</v>
      </c>
      <c r="Q44" s="139"/>
      <c r="R44" s="139" t="e">
        <f>VLOOKUP(Q44,'Source Data Tables'!$G$5:$H$9,2,FALSE)</f>
        <v>#N/A</v>
      </c>
      <c r="S44" s="143" t="e">
        <f t="shared" si="0"/>
        <v>#N/A</v>
      </c>
      <c r="T44" s="143" t="e">
        <f t="shared" si="1"/>
        <v>#N/A</v>
      </c>
      <c r="U44" s="139"/>
      <c r="V44" s="138"/>
      <c r="W44" s="138"/>
      <c r="X44" s="138"/>
      <c r="Y44" s="138"/>
      <c r="Z44" s="138"/>
      <c r="AA44" s="138"/>
    </row>
    <row r="45" spans="1:27" s="144" customFormat="1" x14ac:dyDescent="0.25">
      <c r="A45" s="139"/>
      <c r="B45" s="140"/>
      <c r="C45" s="139"/>
      <c r="D45" s="138"/>
      <c r="E45" s="138"/>
      <c r="F45" s="138"/>
      <c r="G45" s="138"/>
      <c r="H45" s="138"/>
      <c r="I45" s="138"/>
      <c r="J45" s="138"/>
      <c r="K45" s="142"/>
      <c r="L45" s="138"/>
      <c r="M45" s="138"/>
      <c r="N45" s="138"/>
      <c r="O45" s="139"/>
      <c r="P45" s="139" t="e">
        <f>VLOOKUP(O45,'Source Data Tables'!$G$13:$H$17,2,FALSE)</f>
        <v>#N/A</v>
      </c>
      <c r="Q45" s="139"/>
      <c r="R45" s="139" t="e">
        <f>VLOOKUP(Q45,'Source Data Tables'!$G$5:$H$9,2,FALSE)</f>
        <v>#N/A</v>
      </c>
      <c r="S45" s="143" t="e">
        <f t="shared" si="0"/>
        <v>#N/A</v>
      </c>
      <c r="T45" s="143" t="e">
        <f t="shared" si="1"/>
        <v>#N/A</v>
      </c>
      <c r="U45" s="139"/>
      <c r="V45" s="138"/>
      <c r="W45" s="138"/>
      <c r="X45" s="138"/>
      <c r="Y45" s="138"/>
      <c r="Z45" s="138"/>
      <c r="AA45" s="138"/>
    </row>
    <row r="46" spans="1:27" s="144" customFormat="1" x14ac:dyDescent="0.25">
      <c r="A46" s="139"/>
      <c r="B46" s="140"/>
      <c r="C46" s="139"/>
      <c r="D46" s="138"/>
      <c r="E46" s="138"/>
      <c r="F46" s="138"/>
      <c r="G46" s="138"/>
      <c r="H46" s="138"/>
      <c r="I46" s="138"/>
      <c r="J46" s="138"/>
      <c r="K46" s="142"/>
      <c r="L46" s="138"/>
      <c r="M46" s="138"/>
      <c r="N46" s="138"/>
      <c r="O46" s="139"/>
      <c r="P46" s="139" t="e">
        <f>VLOOKUP(O46,'Source Data Tables'!$G$13:$H$17,2,FALSE)</f>
        <v>#N/A</v>
      </c>
      <c r="Q46" s="139"/>
      <c r="R46" s="139" t="e">
        <f>VLOOKUP(Q46,'Source Data Tables'!$G$5:$H$9,2,FALSE)</f>
        <v>#N/A</v>
      </c>
      <c r="S46" s="143" t="e">
        <f t="shared" si="0"/>
        <v>#N/A</v>
      </c>
      <c r="T46" s="143" t="e">
        <f t="shared" si="1"/>
        <v>#N/A</v>
      </c>
      <c r="U46" s="139"/>
      <c r="V46" s="138"/>
      <c r="W46" s="138"/>
      <c r="X46" s="138"/>
      <c r="Y46" s="138"/>
      <c r="Z46" s="138"/>
      <c r="AA46" s="138"/>
    </row>
    <row r="47" spans="1:27" s="144" customFormat="1" x14ac:dyDescent="0.25">
      <c r="A47" s="139"/>
      <c r="B47" s="140"/>
      <c r="C47" s="139"/>
      <c r="D47" s="138"/>
      <c r="E47" s="138"/>
      <c r="F47" s="138"/>
      <c r="G47" s="138"/>
      <c r="H47" s="138"/>
      <c r="I47" s="138"/>
      <c r="J47" s="138"/>
      <c r="K47" s="142"/>
      <c r="L47" s="138"/>
      <c r="M47" s="138"/>
      <c r="N47" s="138"/>
      <c r="O47" s="139"/>
      <c r="P47" s="139" t="e">
        <f>VLOOKUP(O47,'Source Data Tables'!$G$13:$H$17,2,FALSE)</f>
        <v>#N/A</v>
      </c>
      <c r="Q47" s="139"/>
      <c r="R47" s="139" t="e">
        <f>VLOOKUP(Q47,'Source Data Tables'!$G$5:$H$9,2,FALSE)</f>
        <v>#N/A</v>
      </c>
      <c r="S47" s="143" t="e">
        <f t="shared" si="0"/>
        <v>#N/A</v>
      </c>
      <c r="T47" s="143" t="e">
        <f t="shared" si="1"/>
        <v>#N/A</v>
      </c>
      <c r="U47" s="139"/>
      <c r="V47" s="138"/>
      <c r="W47" s="138"/>
      <c r="X47" s="138"/>
      <c r="Y47" s="138"/>
      <c r="Z47" s="138"/>
      <c r="AA47" s="138"/>
    </row>
    <row r="48" spans="1:27" s="144" customFormat="1" x14ac:dyDescent="0.25">
      <c r="A48" s="139"/>
      <c r="B48" s="140"/>
      <c r="C48" s="139"/>
      <c r="D48" s="138"/>
      <c r="E48" s="138"/>
      <c r="F48" s="138"/>
      <c r="G48" s="138"/>
      <c r="H48" s="138"/>
      <c r="I48" s="138"/>
      <c r="J48" s="138"/>
      <c r="K48" s="142"/>
      <c r="L48" s="138"/>
      <c r="M48" s="138"/>
      <c r="N48" s="138"/>
      <c r="O48" s="139"/>
      <c r="P48" s="139" t="e">
        <f>VLOOKUP(O48,'Source Data Tables'!$G$13:$H$17,2,FALSE)</f>
        <v>#N/A</v>
      </c>
      <c r="Q48" s="139"/>
      <c r="R48" s="139" t="e">
        <f>VLOOKUP(Q48,'Source Data Tables'!$G$5:$H$9,2,FALSE)</f>
        <v>#N/A</v>
      </c>
      <c r="S48" s="143" t="e">
        <f t="shared" si="0"/>
        <v>#N/A</v>
      </c>
      <c r="T48" s="143" t="e">
        <f t="shared" si="1"/>
        <v>#N/A</v>
      </c>
      <c r="U48" s="139"/>
      <c r="V48" s="138"/>
      <c r="W48" s="138"/>
      <c r="X48" s="138"/>
      <c r="Y48" s="138"/>
      <c r="Z48" s="138"/>
      <c r="AA48" s="138"/>
    </row>
    <row r="49" spans="1:27" s="144" customFormat="1" x14ac:dyDescent="0.25">
      <c r="A49" s="139"/>
      <c r="B49" s="140"/>
      <c r="C49" s="139"/>
      <c r="D49" s="138"/>
      <c r="E49" s="138"/>
      <c r="F49" s="138"/>
      <c r="G49" s="138"/>
      <c r="H49" s="138"/>
      <c r="I49" s="138"/>
      <c r="J49" s="138"/>
      <c r="K49" s="138"/>
      <c r="L49" s="138"/>
      <c r="M49" s="138"/>
      <c r="N49" s="138"/>
      <c r="O49" s="139"/>
      <c r="P49" s="139" t="e">
        <f>VLOOKUP(O49,'Source Data Tables'!$G$13:$H$17,2,FALSE)</f>
        <v>#N/A</v>
      </c>
      <c r="Q49" s="139"/>
      <c r="R49" s="139" t="e">
        <f>VLOOKUP(Q49,'Source Data Tables'!$G$5:$H$9,2,FALSE)</f>
        <v>#N/A</v>
      </c>
      <c r="S49" s="143" t="e">
        <f t="shared" si="0"/>
        <v>#N/A</v>
      </c>
      <c r="T49" s="143" t="e">
        <f t="shared" si="1"/>
        <v>#N/A</v>
      </c>
      <c r="U49" s="139"/>
      <c r="V49" s="138"/>
      <c r="W49" s="138"/>
      <c r="X49" s="138"/>
      <c r="Y49" s="138"/>
      <c r="Z49" s="138"/>
      <c r="AA49" s="138"/>
    </row>
    <row r="50" spans="1:27" s="144" customFormat="1" x14ac:dyDescent="0.25">
      <c r="A50" s="139"/>
      <c r="B50" s="140"/>
      <c r="C50" s="139"/>
      <c r="D50" s="138"/>
      <c r="E50" s="138"/>
      <c r="F50" s="138"/>
      <c r="G50" s="138"/>
      <c r="H50" s="138"/>
      <c r="I50" s="138"/>
      <c r="J50" s="138"/>
      <c r="K50" s="142"/>
      <c r="L50" s="138"/>
      <c r="M50" s="138"/>
      <c r="N50" s="138"/>
      <c r="O50" s="139"/>
      <c r="P50" s="139" t="e">
        <f>VLOOKUP(O50,'Source Data Tables'!$G$13:$H$17,2,FALSE)</f>
        <v>#N/A</v>
      </c>
      <c r="Q50" s="139"/>
      <c r="R50" s="139" t="e">
        <f>VLOOKUP(Q50,'Source Data Tables'!$G$5:$H$9,2,FALSE)</f>
        <v>#N/A</v>
      </c>
      <c r="S50" s="143" t="e">
        <f t="shared" si="0"/>
        <v>#N/A</v>
      </c>
      <c r="T50" s="143" t="e">
        <f t="shared" si="1"/>
        <v>#N/A</v>
      </c>
      <c r="U50" s="139"/>
      <c r="V50" s="138"/>
      <c r="W50" s="138"/>
      <c r="X50" s="138"/>
      <c r="Y50" s="138"/>
      <c r="Z50" s="138"/>
      <c r="AA50" s="138"/>
    </row>
    <row r="51" spans="1:27" s="144" customFormat="1" x14ac:dyDescent="0.25">
      <c r="A51" s="139"/>
      <c r="B51" s="140"/>
      <c r="C51" s="139"/>
      <c r="D51" s="138"/>
      <c r="E51" s="138"/>
      <c r="F51" s="138"/>
      <c r="G51" s="138"/>
      <c r="H51" s="138"/>
      <c r="I51" s="138"/>
      <c r="J51" s="138"/>
      <c r="K51" s="142"/>
      <c r="L51" s="138"/>
      <c r="M51" s="138"/>
      <c r="N51" s="138"/>
      <c r="O51" s="139"/>
      <c r="P51" s="139" t="e">
        <f>VLOOKUP(O51,'Source Data Tables'!$G$13:$H$17,2,FALSE)</f>
        <v>#N/A</v>
      </c>
      <c r="Q51" s="139"/>
      <c r="R51" s="139" t="e">
        <f>VLOOKUP(Q51,'Source Data Tables'!$G$5:$H$9,2,FALSE)</f>
        <v>#N/A</v>
      </c>
      <c r="S51" s="143" t="e">
        <f t="shared" si="0"/>
        <v>#N/A</v>
      </c>
      <c r="T51" s="143" t="e">
        <f t="shared" si="1"/>
        <v>#N/A</v>
      </c>
      <c r="U51" s="139"/>
      <c r="V51" s="138"/>
      <c r="W51" s="138"/>
      <c r="X51" s="138"/>
      <c r="Y51" s="138"/>
      <c r="Z51" s="138"/>
      <c r="AA51" s="138"/>
    </row>
    <row r="52" spans="1:27" s="144" customFormat="1" x14ac:dyDescent="0.25">
      <c r="A52" s="139"/>
      <c r="B52" s="140"/>
      <c r="C52" s="139"/>
      <c r="D52" s="138"/>
      <c r="E52" s="138"/>
      <c r="F52" s="138"/>
      <c r="G52" s="138"/>
      <c r="H52" s="138"/>
      <c r="I52" s="138"/>
      <c r="J52" s="138"/>
      <c r="K52" s="138"/>
      <c r="L52" s="138"/>
      <c r="M52" s="138"/>
      <c r="N52" s="138"/>
      <c r="O52" s="139"/>
      <c r="P52" s="139" t="e">
        <f>VLOOKUP(O52,'Source Data Tables'!$G$13:$H$17,2,FALSE)</f>
        <v>#N/A</v>
      </c>
      <c r="Q52" s="139"/>
      <c r="R52" s="139" t="e">
        <f>VLOOKUP(Q52,'Source Data Tables'!$G$5:$H$9,2,FALSE)</f>
        <v>#N/A</v>
      </c>
      <c r="S52" s="143" t="e">
        <f t="shared" si="0"/>
        <v>#N/A</v>
      </c>
      <c r="T52" s="143" t="e">
        <f t="shared" si="1"/>
        <v>#N/A</v>
      </c>
      <c r="U52" s="139"/>
      <c r="V52" s="138"/>
      <c r="W52" s="138"/>
      <c r="X52" s="138"/>
      <c r="Y52" s="138"/>
      <c r="Z52" s="138"/>
      <c r="AA52" s="138"/>
    </row>
    <row r="53" spans="1:27" s="144" customFormat="1" x14ac:dyDescent="0.25">
      <c r="A53" s="139"/>
      <c r="B53" s="140"/>
      <c r="C53" s="139"/>
      <c r="D53" s="138"/>
      <c r="E53" s="138"/>
      <c r="F53" s="138"/>
      <c r="G53" s="138"/>
      <c r="H53" s="138"/>
      <c r="I53" s="138"/>
      <c r="J53" s="138"/>
      <c r="K53" s="138"/>
      <c r="L53" s="138"/>
      <c r="M53" s="138"/>
      <c r="N53" s="138"/>
      <c r="O53" s="139"/>
      <c r="P53" s="139" t="e">
        <f>VLOOKUP(O53,'Source Data Tables'!$G$13:$H$17,2,FALSE)</f>
        <v>#N/A</v>
      </c>
      <c r="Q53" s="139"/>
      <c r="R53" s="139" t="e">
        <f>VLOOKUP(Q53,'Source Data Tables'!$G$5:$H$9,2,FALSE)</f>
        <v>#N/A</v>
      </c>
      <c r="S53" s="143" t="e">
        <f t="shared" si="0"/>
        <v>#N/A</v>
      </c>
      <c r="T53" s="143" t="e">
        <f t="shared" si="1"/>
        <v>#N/A</v>
      </c>
      <c r="U53" s="139"/>
      <c r="V53" s="138"/>
      <c r="W53" s="138"/>
      <c r="X53" s="138"/>
      <c r="Y53" s="138"/>
      <c r="Z53" s="138"/>
      <c r="AA53" s="138"/>
    </row>
    <row r="54" spans="1:27" s="144" customFormat="1" x14ac:dyDescent="0.25">
      <c r="A54" s="139"/>
      <c r="B54" s="140"/>
      <c r="C54" s="139"/>
      <c r="D54" s="138"/>
      <c r="E54" s="138"/>
      <c r="F54" s="138"/>
      <c r="G54" s="138"/>
      <c r="H54" s="138"/>
      <c r="I54" s="138"/>
      <c r="J54" s="138"/>
      <c r="K54" s="138"/>
      <c r="L54" s="138"/>
      <c r="M54" s="138"/>
      <c r="N54" s="138"/>
      <c r="O54" s="139"/>
      <c r="P54" s="139" t="e">
        <f>VLOOKUP(O54,'Source Data Tables'!$G$13:$H$17,2,FALSE)</f>
        <v>#N/A</v>
      </c>
      <c r="Q54" s="139"/>
      <c r="R54" s="139" t="e">
        <f>VLOOKUP(Q54,'Source Data Tables'!$G$5:$H$9,2,FALSE)</f>
        <v>#N/A</v>
      </c>
      <c r="S54" s="143" t="e">
        <f t="shared" si="0"/>
        <v>#N/A</v>
      </c>
      <c r="T54" s="143" t="e">
        <f t="shared" si="1"/>
        <v>#N/A</v>
      </c>
      <c r="U54" s="139"/>
      <c r="V54" s="138"/>
      <c r="W54" s="138"/>
      <c r="X54" s="138"/>
      <c r="Y54" s="138"/>
      <c r="Z54" s="138"/>
      <c r="AA54" s="138"/>
    </row>
    <row r="55" spans="1:27" s="144" customFormat="1" x14ac:dyDescent="0.25">
      <c r="A55" s="139"/>
      <c r="B55" s="140"/>
      <c r="C55" s="139"/>
      <c r="D55" s="138"/>
      <c r="E55" s="138"/>
      <c r="F55" s="138"/>
      <c r="G55" s="138"/>
      <c r="H55" s="138"/>
      <c r="I55" s="138"/>
      <c r="J55" s="138"/>
      <c r="K55" s="138"/>
      <c r="L55" s="138"/>
      <c r="M55" s="138"/>
      <c r="N55" s="138"/>
      <c r="O55" s="139"/>
      <c r="P55" s="139" t="e">
        <f>VLOOKUP(O55,'Source Data Tables'!$G$13:$H$17,2,FALSE)</f>
        <v>#N/A</v>
      </c>
      <c r="Q55" s="139"/>
      <c r="R55" s="139" t="e">
        <f>VLOOKUP(Q55,'Source Data Tables'!$G$5:$H$9,2,FALSE)</f>
        <v>#N/A</v>
      </c>
      <c r="S55" s="143" t="e">
        <f t="shared" si="0"/>
        <v>#N/A</v>
      </c>
      <c r="T55" s="143" t="e">
        <f t="shared" si="1"/>
        <v>#N/A</v>
      </c>
      <c r="U55" s="139"/>
      <c r="V55" s="138"/>
      <c r="W55" s="138"/>
      <c r="X55" s="138"/>
      <c r="Y55" s="138"/>
      <c r="Z55" s="138"/>
      <c r="AA55" s="138"/>
    </row>
    <row r="56" spans="1:27" s="144" customFormat="1" x14ac:dyDescent="0.25">
      <c r="A56" s="139"/>
      <c r="B56" s="140"/>
      <c r="C56" s="139"/>
      <c r="D56" s="138"/>
      <c r="E56" s="138"/>
      <c r="F56" s="138"/>
      <c r="G56" s="138"/>
      <c r="H56" s="138"/>
      <c r="I56" s="138"/>
      <c r="J56" s="138"/>
      <c r="K56" s="138"/>
      <c r="L56" s="138"/>
      <c r="M56" s="138"/>
      <c r="N56" s="138"/>
      <c r="O56" s="139"/>
      <c r="P56" s="139" t="e">
        <f>VLOOKUP(O56,'Source Data Tables'!$G$13:$H$17,2,FALSE)</f>
        <v>#N/A</v>
      </c>
      <c r="Q56" s="139"/>
      <c r="R56" s="139" t="e">
        <f>VLOOKUP(Q56,'Source Data Tables'!$G$5:$H$9,2,FALSE)</f>
        <v>#N/A</v>
      </c>
      <c r="S56" s="143" t="e">
        <f t="shared" si="0"/>
        <v>#N/A</v>
      </c>
      <c r="T56" s="143" t="e">
        <f t="shared" si="1"/>
        <v>#N/A</v>
      </c>
      <c r="U56" s="139"/>
      <c r="V56" s="138"/>
      <c r="W56" s="138"/>
      <c r="X56" s="138"/>
      <c r="Y56" s="138"/>
      <c r="Z56" s="138"/>
      <c r="AA56" s="138"/>
    </row>
    <row r="57" spans="1:27" s="144" customFormat="1" x14ac:dyDescent="0.25">
      <c r="A57" s="139"/>
      <c r="B57" s="140"/>
      <c r="C57" s="139"/>
      <c r="D57" s="138"/>
      <c r="E57" s="138"/>
      <c r="F57" s="138"/>
      <c r="G57" s="138"/>
      <c r="H57" s="138"/>
      <c r="I57" s="138"/>
      <c r="J57" s="138"/>
      <c r="K57" s="138"/>
      <c r="L57" s="138"/>
      <c r="M57" s="138"/>
      <c r="N57" s="138"/>
      <c r="O57" s="139"/>
      <c r="P57" s="139" t="e">
        <f>VLOOKUP(O57,'Source Data Tables'!$G$13:$H$17,2,FALSE)</f>
        <v>#N/A</v>
      </c>
      <c r="Q57" s="139"/>
      <c r="R57" s="139" t="e">
        <f>VLOOKUP(Q57,'Source Data Tables'!$G$5:$H$9,2,FALSE)</f>
        <v>#N/A</v>
      </c>
      <c r="S57" s="143" t="e">
        <f t="shared" si="0"/>
        <v>#N/A</v>
      </c>
      <c r="T57" s="143" t="e">
        <f t="shared" si="1"/>
        <v>#N/A</v>
      </c>
      <c r="U57" s="139"/>
      <c r="V57" s="138"/>
      <c r="W57" s="138"/>
      <c r="X57" s="138"/>
      <c r="Y57" s="138"/>
      <c r="Z57" s="138"/>
      <c r="AA57" s="138"/>
    </row>
    <row r="58" spans="1:27" s="144" customFormat="1" x14ac:dyDescent="0.25">
      <c r="A58" s="139"/>
      <c r="B58" s="140"/>
      <c r="C58" s="139"/>
      <c r="D58" s="138"/>
      <c r="E58" s="138"/>
      <c r="F58" s="138"/>
      <c r="G58" s="138"/>
      <c r="H58" s="138"/>
      <c r="I58" s="138"/>
      <c r="J58" s="138"/>
      <c r="K58" s="138"/>
      <c r="L58" s="138"/>
      <c r="M58" s="138"/>
      <c r="N58" s="138"/>
      <c r="O58" s="139"/>
      <c r="P58" s="139" t="e">
        <f>VLOOKUP(O58,'Source Data Tables'!$G$13:$H$17,2,FALSE)</f>
        <v>#N/A</v>
      </c>
      <c r="Q58" s="139"/>
      <c r="R58" s="139" t="e">
        <f>VLOOKUP(Q58,'Source Data Tables'!$G$5:$H$9,2,FALSE)</f>
        <v>#N/A</v>
      </c>
      <c r="S58" s="143" t="e">
        <f t="shared" si="0"/>
        <v>#N/A</v>
      </c>
      <c r="T58" s="143" t="e">
        <f t="shared" si="1"/>
        <v>#N/A</v>
      </c>
      <c r="U58" s="139"/>
      <c r="V58" s="138"/>
      <c r="W58" s="138"/>
      <c r="X58" s="138"/>
      <c r="Y58" s="138"/>
      <c r="Z58" s="138"/>
      <c r="AA58" s="138"/>
    </row>
    <row r="59" spans="1:27" s="144" customFormat="1" x14ac:dyDescent="0.25">
      <c r="A59" s="139"/>
      <c r="B59" s="140"/>
      <c r="C59" s="139"/>
      <c r="D59" s="138"/>
      <c r="E59" s="138"/>
      <c r="F59" s="138"/>
      <c r="G59" s="138"/>
      <c r="H59" s="138"/>
      <c r="I59" s="138"/>
      <c r="J59" s="138"/>
      <c r="K59" s="138"/>
      <c r="L59" s="138"/>
      <c r="M59" s="138"/>
      <c r="N59" s="138"/>
      <c r="O59" s="139"/>
      <c r="P59" s="139" t="e">
        <f>VLOOKUP(O59,'Source Data Tables'!$G$13:$H$17,2,FALSE)</f>
        <v>#N/A</v>
      </c>
      <c r="Q59" s="139"/>
      <c r="R59" s="139" t="e">
        <f>VLOOKUP(Q59,'Source Data Tables'!$G$5:$H$9,2,FALSE)</f>
        <v>#N/A</v>
      </c>
      <c r="S59" s="143" t="e">
        <f t="shared" si="0"/>
        <v>#N/A</v>
      </c>
      <c r="T59" s="143" t="e">
        <f t="shared" si="1"/>
        <v>#N/A</v>
      </c>
      <c r="U59" s="139"/>
      <c r="V59" s="138"/>
      <c r="W59" s="138"/>
      <c r="X59" s="138"/>
      <c r="Y59" s="138"/>
      <c r="Z59" s="138"/>
      <c r="AA59" s="138"/>
    </row>
    <row r="60" spans="1:27" s="144" customFormat="1" x14ac:dyDescent="0.25">
      <c r="A60" s="139"/>
      <c r="B60" s="140"/>
      <c r="C60" s="139"/>
      <c r="D60" s="138"/>
      <c r="E60" s="138"/>
      <c r="F60" s="138"/>
      <c r="G60" s="138"/>
      <c r="H60" s="138"/>
      <c r="I60" s="138"/>
      <c r="J60" s="138"/>
      <c r="K60" s="138"/>
      <c r="L60" s="138"/>
      <c r="M60" s="138"/>
      <c r="N60" s="138"/>
      <c r="O60" s="139"/>
      <c r="P60" s="139" t="e">
        <f>VLOOKUP(O60,'Source Data Tables'!$G$13:$H$17,2,FALSE)</f>
        <v>#N/A</v>
      </c>
      <c r="Q60" s="139"/>
      <c r="R60" s="139" t="e">
        <f>VLOOKUP(Q60,'Source Data Tables'!$G$5:$H$9,2,FALSE)</f>
        <v>#N/A</v>
      </c>
      <c r="S60" s="143" t="e">
        <f t="shared" si="0"/>
        <v>#N/A</v>
      </c>
      <c r="T60" s="143" t="e">
        <f t="shared" si="1"/>
        <v>#N/A</v>
      </c>
      <c r="U60" s="139"/>
      <c r="V60" s="138"/>
      <c r="W60" s="138"/>
      <c r="X60" s="138"/>
      <c r="Y60" s="138"/>
      <c r="Z60" s="138"/>
      <c r="AA60" s="138"/>
    </row>
    <row r="61" spans="1:27" s="144" customFormat="1" x14ac:dyDescent="0.25">
      <c r="A61" s="139"/>
      <c r="B61" s="140"/>
      <c r="C61" s="139"/>
      <c r="D61" s="138"/>
      <c r="E61" s="138"/>
      <c r="F61" s="138"/>
      <c r="G61" s="138"/>
      <c r="H61" s="138"/>
      <c r="I61" s="138"/>
      <c r="J61" s="138"/>
      <c r="K61" s="138"/>
      <c r="L61" s="138"/>
      <c r="M61" s="138"/>
      <c r="N61" s="138"/>
      <c r="O61" s="139"/>
      <c r="P61" s="139" t="e">
        <f>VLOOKUP(O61,'Source Data Tables'!$G$13:$H$17,2,FALSE)</f>
        <v>#N/A</v>
      </c>
      <c r="Q61" s="139"/>
      <c r="R61" s="139" t="e">
        <f>VLOOKUP(Q61,'Source Data Tables'!$G$5:$H$9,2,FALSE)</f>
        <v>#N/A</v>
      </c>
      <c r="S61" s="143" t="e">
        <f t="shared" si="0"/>
        <v>#N/A</v>
      </c>
      <c r="T61" s="143" t="e">
        <f t="shared" si="1"/>
        <v>#N/A</v>
      </c>
      <c r="U61" s="139"/>
      <c r="V61" s="138"/>
      <c r="W61" s="138"/>
      <c r="X61" s="138"/>
      <c r="Y61" s="138"/>
      <c r="Z61" s="138"/>
      <c r="AA61" s="138"/>
    </row>
    <row r="62" spans="1:27" s="144" customFormat="1" x14ac:dyDescent="0.25">
      <c r="A62" s="139"/>
      <c r="B62" s="140"/>
      <c r="C62" s="139"/>
      <c r="D62" s="138"/>
      <c r="E62" s="138"/>
      <c r="F62" s="138"/>
      <c r="G62" s="138"/>
      <c r="H62" s="138"/>
      <c r="I62" s="138"/>
      <c r="J62" s="138"/>
      <c r="K62" s="138"/>
      <c r="L62" s="138"/>
      <c r="M62" s="138"/>
      <c r="N62" s="138"/>
      <c r="O62" s="139"/>
      <c r="P62" s="139" t="e">
        <f>VLOOKUP(O62,'Source Data Tables'!$G$13:$H$17,2,FALSE)</f>
        <v>#N/A</v>
      </c>
      <c r="Q62" s="139"/>
      <c r="R62" s="139" t="e">
        <f>VLOOKUP(Q62,'Source Data Tables'!$G$5:$H$9,2,FALSE)</f>
        <v>#N/A</v>
      </c>
      <c r="S62" s="143" t="e">
        <f t="shared" si="0"/>
        <v>#N/A</v>
      </c>
      <c r="T62" s="143" t="e">
        <f t="shared" si="1"/>
        <v>#N/A</v>
      </c>
      <c r="U62" s="139"/>
      <c r="V62" s="138"/>
      <c r="W62" s="138"/>
      <c r="X62" s="138"/>
      <c r="Y62" s="138"/>
      <c r="Z62" s="138"/>
      <c r="AA62" s="138"/>
    </row>
    <row r="63" spans="1:27" s="144" customFormat="1" x14ac:dyDescent="0.25">
      <c r="A63" s="139"/>
      <c r="B63" s="140"/>
      <c r="C63" s="139"/>
      <c r="D63" s="138"/>
      <c r="E63" s="138"/>
      <c r="F63" s="138"/>
      <c r="G63" s="138"/>
      <c r="H63" s="138"/>
      <c r="I63" s="138"/>
      <c r="J63" s="138"/>
      <c r="K63" s="138"/>
      <c r="L63" s="138"/>
      <c r="M63" s="138"/>
      <c r="N63" s="138"/>
      <c r="O63" s="139"/>
      <c r="P63" s="139" t="e">
        <f>VLOOKUP(O63,'Source Data Tables'!$G$13:$H$17,2,FALSE)</f>
        <v>#N/A</v>
      </c>
      <c r="Q63" s="139"/>
      <c r="R63" s="139" t="e">
        <f>VLOOKUP(Q63,'Source Data Tables'!$G$5:$H$9,2,FALSE)</f>
        <v>#N/A</v>
      </c>
      <c r="S63" s="143" t="e">
        <f t="shared" si="0"/>
        <v>#N/A</v>
      </c>
      <c r="T63" s="143" t="e">
        <f t="shared" si="1"/>
        <v>#N/A</v>
      </c>
      <c r="U63" s="139"/>
      <c r="V63" s="138"/>
      <c r="W63" s="138"/>
      <c r="X63" s="138"/>
      <c r="Y63" s="138"/>
      <c r="Z63" s="138"/>
      <c r="AA63" s="138"/>
    </row>
    <row r="64" spans="1:27" s="158" customFormat="1" x14ac:dyDescent="0.25">
      <c r="A64" s="154"/>
      <c r="B64" s="155"/>
      <c r="C64" s="154"/>
      <c r="D64" s="156"/>
      <c r="E64" s="156"/>
      <c r="F64" s="156"/>
      <c r="G64" s="156"/>
      <c r="H64" s="156"/>
      <c r="I64" s="156"/>
      <c r="J64" s="156"/>
      <c r="K64" s="156"/>
      <c r="L64" s="156"/>
      <c r="M64" s="156"/>
      <c r="N64" s="156"/>
      <c r="O64" s="154"/>
      <c r="P64" s="154" t="e">
        <f>VLOOKUP(O64,'Source Data Tables'!$G$13:$H$17,2,FALSE)</f>
        <v>#N/A</v>
      </c>
      <c r="Q64" s="154"/>
      <c r="R64" s="157" t="e">
        <f>VLOOKUP(Q64,'Source Data Tables'!$G$5:$H$9,2,FALSE)</f>
        <v>#N/A</v>
      </c>
      <c r="S64" s="157" t="e">
        <f t="shared" si="0"/>
        <v>#N/A</v>
      </c>
      <c r="T64" s="134" t="e">
        <f t="shared" si="1"/>
        <v>#N/A</v>
      </c>
      <c r="U64" s="154"/>
      <c r="V64" s="156"/>
      <c r="W64" s="156"/>
      <c r="X64" s="156"/>
      <c r="Y64" s="156"/>
      <c r="Z64" s="156"/>
      <c r="AA64" s="156"/>
    </row>
    <row r="65" spans="1:27" x14ac:dyDescent="0.25">
      <c r="A65" s="159"/>
      <c r="B65" s="160"/>
      <c r="C65" s="159"/>
      <c r="D65" s="161"/>
      <c r="E65" s="161"/>
      <c r="F65" s="161"/>
      <c r="G65" s="159"/>
      <c r="H65" s="161"/>
      <c r="I65" s="161"/>
      <c r="J65" s="161"/>
      <c r="K65" s="161"/>
      <c r="L65" s="161"/>
      <c r="M65" s="161"/>
      <c r="N65" s="161"/>
      <c r="O65" s="161"/>
      <c r="P65" s="161"/>
      <c r="Q65" s="162"/>
      <c r="R65" s="162"/>
      <c r="S65" s="163"/>
      <c r="T65" s="159"/>
      <c r="U65" s="162"/>
      <c r="V65" s="159"/>
      <c r="W65" s="159"/>
      <c r="X65" s="159"/>
      <c r="Y65" s="159"/>
      <c r="Z65" s="159"/>
      <c r="AA65" s="159"/>
    </row>
  </sheetData>
  <mergeCells count="1">
    <mergeCell ref="V1:AA1"/>
  </mergeCells>
  <conditionalFormatting sqref="T4:T10 T14:T15 T21:T23 T25 T32:T35 T37:T64">
    <cfRule type="cellIs" dxfId="288" priority="271" operator="equal">
      <formula>0.72</formula>
    </cfRule>
    <cfRule type="cellIs" dxfId="287" priority="283" operator="equal">
      <formula>0.09</formula>
    </cfRule>
    <cfRule type="cellIs" dxfId="286" priority="284" operator="equal">
      <formula>0.08</formula>
    </cfRule>
    <cfRule type="cellIs" dxfId="285" priority="285" operator="equal">
      <formula>0.045</formula>
    </cfRule>
    <cfRule type="cellIs" dxfId="284" priority="287" stopIfTrue="1" operator="equal">
      <formula>0.04</formula>
    </cfRule>
    <cfRule type="cellIs" dxfId="283" priority="288" stopIfTrue="1" operator="equal">
      <formula>0.035</formula>
    </cfRule>
  </conditionalFormatting>
  <conditionalFormatting sqref="R64">
    <cfRule type="cellIs" dxfId="282" priority="279" operator="equal">
      <formula>0.04</formula>
    </cfRule>
    <cfRule type="cellIs" dxfId="281" priority="280" operator="equal">
      <formula>0.035</formula>
    </cfRule>
  </conditionalFormatting>
  <conditionalFormatting sqref="R64">
    <cfRule type="cellIs" dxfId="280" priority="274" operator="equal">
      <formula>0.09</formula>
    </cfRule>
    <cfRule type="cellIs" dxfId="279" priority="275" operator="equal">
      <formula>0.08</formula>
    </cfRule>
    <cfRule type="cellIs" dxfId="278" priority="276" operator="equal">
      <formula>0.045</formula>
    </cfRule>
  </conditionalFormatting>
  <conditionalFormatting sqref="S4:S10 S14:S15 S21:S23 S25 S32:S35 S37:S64">
    <cfRule type="cellIs" dxfId="277" priority="264" operator="equal">
      <formula>0.09</formula>
    </cfRule>
    <cfRule type="cellIs" dxfId="276" priority="265" operator="equal">
      <formula>0.08</formula>
    </cfRule>
    <cfRule type="cellIs" dxfId="275" priority="266" operator="equal">
      <formula>0.045</formula>
    </cfRule>
    <cfRule type="cellIs" dxfId="274" priority="268" stopIfTrue="1" operator="equal">
      <formula>0.04</formula>
    </cfRule>
    <cfRule type="cellIs" dxfId="273" priority="269" stopIfTrue="1" operator="equal">
      <formula>0.035</formula>
    </cfRule>
  </conditionalFormatting>
  <conditionalFormatting sqref="S4:S10 S14:S15 S21:S23 S25 S32:S35 S37:S64">
    <cfRule type="cellIs" dxfId="272" priority="261" operator="equal">
      <formula>0.72</formula>
    </cfRule>
  </conditionalFormatting>
  <conditionalFormatting sqref="T11">
    <cfRule type="cellIs" dxfId="271" priority="251" operator="equal">
      <formula>0.72</formula>
    </cfRule>
    <cfRule type="cellIs" dxfId="270" priority="254" operator="equal">
      <formula>0.09</formula>
    </cfRule>
    <cfRule type="cellIs" dxfId="269" priority="255" operator="equal">
      <formula>0.08</formula>
    </cfRule>
    <cfRule type="cellIs" dxfId="268" priority="256" operator="equal">
      <formula>0.045</formula>
    </cfRule>
    <cfRule type="cellIs" dxfId="267" priority="258" stopIfTrue="1" operator="equal">
      <formula>0.04</formula>
    </cfRule>
    <cfRule type="cellIs" dxfId="266" priority="259" stopIfTrue="1" operator="equal">
      <formula>0.035</formula>
    </cfRule>
  </conditionalFormatting>
  <conditionalFormatting sqref="S11">
    <cfRule type="cellIs" dxfId="265" priority="244" operator="equal">
      <formula>0.09</formula>
    </cfRule>
    <cfRule type="cellIs" dxfId="264" priority="245" operator="equal">
      <formula>0.08</formula>
    </cfRule>
    <cfRule type="cellIs" dxfId="263" priority="246" operator="equal">
      <formula>0.045</formula>
    </cfRule>
    <cfRule type="cellIs" dxfId="262" priority="248" stopIfTrue="1" operator="equal">
      <formula>0.04</formula>
    </cfRule>
    <cfRule type="cellIs" dxfId="261" priority="249" stopIfTrue="1" operator="equal">
      <formula>0.035</formula>
    </cfRule>
  </conditionalFormatting>
  <conditionalFormatting sqref="S11">
    <cfRule type="cellIs" dxfId="260" priority="241" operator="equal">
      <formula>0.72</formula>
    </cfRule>
  </conditionalFormatting>
  <conditionalFormatting sqref="T13">
    <cfRule type="cellIs" dxfId="259" priority="231" operator="equal">
      <formula>0.72</formula>
    </cfRule>
    <cfRule type="cellIs" dxfId="258" priority="234" operator="equal">
      <formula>0.09</formula>
    </cfRule>
    <cfRule type="cellIs" dxfId="257" priority="235" operator="equal">
      <formula>0.08</formula>
    </cfRule>
    <cfRule type="cellIs" dxfId="256" priority="236" operator="equal">
      <formula>0.045</formula>
    </cfRule>
    <cfRule type="cellIs" dxfId="255" priority="238" stopIfTrue="1" operator="equal">
      <formula>0.04</formula>
    </cfRule>
    <cfRule type="cellIs" dxfId="254" priority="239" stopIfTrue="1" operator="equal">
      <formula>0.035</formula>
    </cfRule>
  </conditionalFormatting>
  <conditionalFormatting sqref="S13">
    <cfRule type="cellIs" dxfId="253" priority="224" operator="equal">
      <formula>0.09</formula>
    </cfRule>
    <cfRule type="cellIs" dxfId="252" priority="225" operator="equal">
      <formula>0.08</formula>
    </cfRule>
    <cfRule type="cellIs" dxfId="251" priority="226" operator="equal">
      <formula>0.045</formula>
    </cfRule>
    <cfRule type="cellIs" dxfId="250" priority="228" stopIfTrue="1" operator="equal">
      <formula>0.04</formula>
    </cfRule>
    <cfRule type="cellIs" dxfId="249" priority="229" stopIfTrue="1" operator="equal">
      <formula>0.035</formula>
    </cfRule>
  </conditionalFormatting>
  <conditionalFormatting sqref="S13">
    <cfRule type="cellIs" dxfId="248" priority="221" operator="equal">
      <formula>0.72</formula>
    </cfRule>
  </conditionalFormatting>
  <conditionalFormatting sqref="T12">
    <cfRule type="cellIs" dxfId="247" priority="211" operator="equal">
      <formula>0.72</formula>
    </cfRule>
    <cfRule type="cellIs" dxfId="246" priority="214" operator="equal">
      <formula>0.09</formula>
    </cfRule>
    <cfRule type="cellIs" dxfId="245" priority="215" operator="equal">
      <formula>0.08</formula>
    </cfRule>
    <cfRule type="cellIs" dxfId="244" priority="216" operator="equal">
      <formula>0.045</formula>
    </cfRule>
    <cfRule type="cellIs" dxfId="243" priority="218" stopIfTrue="1" operator="equal">
      <formula>0.04</formula>
    </cfRule>
    <cfRule type="cellIs" dxfId="242" priority="219" stopIfTrue="1" operator="equal">
      <formula>0.035</formula>
    </cfRule>
  </conditionalFormatting>
  <conditionalFormatting sqref="S12">
    <cfRule type="cellIs" dxfId="241" priority="204" operator="equal">
      <formula>0.09</formula>
    </cfRule>
    <cfRule type="cellIs" dxfId="240" priority="205" operator="equal">
      <formula>0.08</formula>
    </cfRule>
    <cfRule type="cellIs" dxfId="239" priority="206" operator="equal">
      <formula>0.045</formula>
    </cfRule>
    <cfRule type="cellIs" dxfId="238" priority="208" stopIfTrue="1" operator="equal">
      <formula>0.04</formula>
    </cfRule>
    <cfRule type="cellIs" dxfId="237" priority="209" stopIfTrue="1" operator="equal">
      <formula>0.035</formula>
    </cfRule>
  </conditionalFormatting>
  <conditionalFormatting sqref="S12">
    <cfRule type="cellIs" dxfId="236" priority="201" operator="equal">
      <formula>0.72</formula>
    </cfRule>
  </conditionalFormatting>
  <conditionalFormatting sqref="T16">
    <cfRule type="cellIs" dxfId="235" priority="191" operator="equal">
      <formula>0.72</formula>
    </cfRule>
    <cfRule type="cellIs" dxfId="234" priority="194" operator="equal">
      <formula>0.09</formula>
    </cfRule>
    <cfRule type="cellIs" dxfId="233" priority="195" operator="equal">
      <formula>0.08</formula>
    </cfRule>
    <cfRule type="cellIs" dxfId="232" priority="196" operator="equal">
      <formula>0.045</formula>
    </cfRule>
    <cfRule type="cellIs" dxfId="231" priority="198" stopIfTrue="1" operator="equal">
      <formula>0.04</formula>
    </cfRule>
    <cfRule type="cellIs" dxfId="230" priority="199" stopIfTrue="1" operator="equal">
      <formula>0.035</formula>
    </cfRule>
  </conditionalFormatting>
  <conditionalFormatting sqref="S16">
    <cfRule type="cellIs" dxfId="229" priority="184" operator="equal">
      <formula>0.09</formula>
    </cfRule>
    <cfRule type="cellIs" dxfId="228" priority="185" operator="equal">
      <formula>0.08</formula>
    </cfRule>
    <cfRule type="cellIs" dxfId="227" priority="186" operator="equal">
      <formula>0.045</formula>
    </cfRule>
    <cfRule type="cellIs" dxfId="226" priority="188" stopIfTrue="1" operator="equal">
      <formula>0.04</formula>
    </cfRule>
    <cfRule type="cellIs" dxfId="225" priority="189" stopIfTrue="1" operator="equal">
      <formula>0.035</formula>
    </cfRule>
  </conditionalFormatting>
  <conditionalFormatting sqref="S16">
    <cfRule type="cellIs" dxfId="224" priority="181" operator="equal">
      <formula>0.72</formula>
    </cfRule>
  </conditionalFormatting>
  <conditionalFormatting sqref="T17:T20">
    <cfRule type="cellIs" dxfId="223" priority="171" operator="equal">
      <formula>0.72</formula>
    </cfRule>
    <cfRule type="cellIs" dxfId="222" priority="174" operator="equal">
      <formula>0.09</formula>
    </cfRule>
    <cfRule type="cellIs" dxfId="221" priority="175" operator="equal">
      <formula>0.08</formula>
    </cfRule>
    <cfRule type="cellIs" dxfId="220" priority="176" operator="equal">
      <formula>0.045</formula>
    </cfRule>
    <cfRule type="cellIs" dxfId="219" priority="178" stopIfTrue="1" operator="equal">
      <formula>0.04</formula>
    </cfRule>
    <cfRule type="cellIs" dxfId="218" priority="179" stopIfTrue="1" operator="equal">
      <formula>0.035</formula>
    </cfRule>
  </conditionalFormatting>
  <conditionalFormatting sqref="S17:S20">
    <cfRule type="cellIs" dxfId="217" priority="164" operator="equal">
      <formula>0.09</formula>
    </cfRule>
    <cfRule type="cellIs" dxfId="216" priority="165" operator="equal">
      <formula>0.08</formula>
    </cfRule>
    <cfRule type="cellIs" dxfId="215" priority="166" operator="equal">
      <formula>0.045</formula>
    </cfRule>
    <cfRule type="cellIs" dxfId="214" priority="168" stopIfTrue="1" operator="equal">
      <formula>0.04</formula>
    </cfRule>
    <cfRule type="cellIs" dxfId="213" priority="169" stopIfTrue="1" operator="equal">
      <formula>0.035</formula>
    </cfRule>
  </conditionalFormatting>
  <conditionalFormatting sqref="S17:S20">
    <cfRule type="cellIs" dxfId="212" priority="161" operator="equal">
      <formula>0.72</formula>
    </cfRule>
  </conditionalFormatting>
  <conditionalFormatting sqref="T24">
    <cfRule type="cellIs" dxfId="211" priority="151" operator="equal">
      <formula>0.72</formula>
    </cfRule>
    <cfRule type="cellIs" dxfId="210" priority="154" operator="equal">
      <formula>0.09</formula>
    </cfRule>
    <cfRule type="cellIs" dxfId="209" priority="155" operator="equal">
      <formula>0.08</formula>
    </cfRule>
    <cfRule type="cellIs" dxfId="208" priority="156" operator="equal">
      <formula>0.045</formula>
    </cfRule>
    <cfRule type="cellIs" dxfId="207" priority="158" stopIfTrue="1" operator="equal">
      <formula>0.04</formula>
    </cfRule>
    <cfRule type="cellIs" dxfId="206" priority="159" stopIfTrue="1" operator="equal">
      <formula>0.035</formula>
    </cfRule>
  </conditionalFormatting>
  <conditionalFormatting sqref="S24">
    <cfRule type="cellIs" dxfId="205" priority="144" operator="equal">
      <formula>0.09</formula>
    </cfRule>
    <cfRule type="cellIs" dxfId="204" priority="145" operator="equal">
      <formula>0.08</formula>
    </cfRule>
    <cfRule type="cellIs" dxfId="203" priority="146" operator="equal">
      <formula>0.045</formula>
    </cfRule>
    <cfRule type="cellIs" dxfId="202" priority="148" stopIfTrue="1" operator="equal">
      <formula>0.04</formula>
    </cfRule>
    <cfRule type="cellIs" dxfId="201" priority="149" stopIfTrue="1" operator="equal">
      <formula>0.035</formula>
    </cfRule>
  </conditionalFormatting>
  <conditionalFormatting sqref="S24">
    <cfRule type="cellIs" dxfId="200" priority="141" operator="equal">
      <formula>0.72</formula>
    </cfRule>
  </conditionalFormatting>
  <conditionalFormatting sqref="T26">
    <cfRule type="cellIs" dxfId="199" priority="131" operator="equal">
      <formula>0.72</formula>
    </cfRule>
    <cfRule type="cellIs" dxfId="198" priority="134" operator="equal">
      <formula>0.09</formula>
    </cfRule>
    <cfRule type="cellIs" dxfId="197" priority="135" operator="equal">
      <formula>0.08</formula>
    </cfRule>
    <cfRule type="cellIs" dxfId="196" priority="136" operator="equal">
      <formula>0.045</formula>
    </cfRule>
    <cfRule type="cellIs" dxfId="195" priority="138" stopIfTrue="1" operator="equal">
      <formula>0.04</formula>
    </cfRule>
    <cfRule type="cellIs" dxfId="194" priority="139" stopIfTrue="1" operator="equal">
      <formula>0.035</formula>
    </cfRule>
  </conditionalFormatting>
  <conditionalFormatting sqref="S26">
    <cfRule type="cellIs" dxfId="193" priority="124" operator="equal">
      <formula>0.09</formula>
    </cfRule>
    <cfRule type="cellIs" dxfId="192" priority="125" operator="equal">
      <formula>0.08</formula>
    </cfRule>
    <cfRule type="cellIs" dxfId="191" priority="126" operator="equal">
      <formula>0.045</formula>
    </cfRule>
    <cfRule type="cellIs" dxfId="190" priority="128" stopIfTrue="1" operator="equal">
      <formula>0.04</formula>
    </cfRule>
    <cfRule type="cellIs" dxfId="189" priority="129" stopIfTrue="1" operator="equal">
      <formula>0.035</formula>
    </cfRule>
  </conditionalFormatting>
  <conditionalFormatting sqref="S26">
    <cfRule type="cellIs" dxfId="188" priority="121" operator="equal">
      <formula>0.72</formula>
    </cfRule>
  </conditionalFormatting>
  <conditionalFormatting sqref="T27">
    <cfRule type="cellIs" dxfId="187" priority="111" operator="equal">
      <formula>0.72</formula>
    </cfRule>
    <cfRule type="cellIs" dxfId="186" priority="114" operator="equal">
      <formula>0.09</formula>
    </cfRule>
    <cfRule type="cellIs" dxfId="185" priority="115" operator="equal">
      <formula>0.08</formula>
    </cfRule>
    <cfRule type="cellIs" dxfId="184" priority="116" operator="equal">
      <formula>0.045</formula>
    </cfRule>
    <cfRule type="cellIs" dxfId="183" priority="118" stopIfTrue="1" operator="equal">
      <formula>0.04</formula>
    </cfRule>
    <cfRule type="cellIs" dxfId="182" priority="119" stopIfTrue="1" operator="equal">
      <formula>0.035</formula>
    </cfRule>
  </conditionalFormatting>
  <conditionalFormatting sqref="S27">
    <cfRule type="cellIs" dxfId="181" priority="104" operator="equal">
      <formula>0.09</formula>
    </cfRule>
    <cfRule type="cellIs" dxfId="180" priority="105" operator="equal">
      <formula>0.08</formula>
    </cfRule>
    <cfRule type="cellIs" dxfId="179" priority="106" operator="equal">
      <formula>0.045</formula>
    </cfRule>
    <cfRule type="cellIs" dxfId="178" priority="108" stopIfTrue="1" operator="equal">
      <formula>0.04</formula>
    </cfRule>
    <cfRule type="cellIs" dxfId="177" priority="109" stopIfTrue="1" operator="equal">
      <formula>0.035</formula>
    </cfRule>
  </conditionalFormatting>
  <conditionalFormatting sqref="S27">
    <cfRule type="cellIs" dxfId="176" priority="101" operator="equal">
      <formula>0.72</formula>
    </cfRule>
  </conditionalFormatting>
  <conditionalFormatting sqref="T28">
    <cfRule type="cellIs" dxfId="175" priority="91" operator="equal">
      <formula>0.72</formula>
    </cfRule>
    <cfRule type="cellIs" dxfId="174" priority="94" operator="equal">
      <formula>0.09</formula>
    </cfRule>
    <cfRule type="cellIs" dxfId="173" priority="95" operator="equal">
      <formula>0.08</formula>
    </cfRule>
    <cfRule type="cellIs" dxfId="172" priority="96" operator="equal">
      <formula>0.045</formula>
    </cfRule>
    <cfRule type="cellIs" dxfId="171" priority="98" stopIfTrue="1" operator="equal">
      <formula>0.04</formula>
    </cfRule>
    <cfRule type="cellIs" dxfId="170" priority="99" stopIfTrue="1" operator="equal">
      <formula>0.035</formula>
    </cfRule>
  </conditionalFormatting>
  <conditionalFormatting sqref="S28">
    <cfRule type="cellIs" dxfId="169" priority="84" operator="equal">
      <formula>0.09</formula>
    </cfRule>
    <cfRule type="cellIs" dxfId="168" priority="85" operator="equal">
      <formula>0.08</formula>
    </cfRule>
    <cfRule type="cellIs" dxfId="167" priority="86" operator="equal">
      <formula>0.045</formula>
    </cfRule>
    <cfRule type="cellIs" dxfId="166" priority="88" stopIfTrue="1" operator="equal">
      <formula>0.04</formula>
    </cfRule>
    <cfRule type="cellIs" dxfId="165" priority="89" stopIfTrue="1" operator="equal">
      <formula>0.035</formula>
    </cfRule>
  </conditionalFormatting>
  <conditionalFormatting sqref="S28">
    <cfRule type="cellIs" dxfId="164" priority="81" operator="equal">
      <formula>0.72</formula>
    </cfRule>
  </conditionalFormatting>
  <conditionalFormatting sqref="T29">
    <cfRule type="cellIs" dxfId="163" priority="71" operator="equal">
      <formula>0.72</formula>
    </cfRule>
    <cfRule type="cellIs" dxfId="162" priority="74" operator="equal">
      <formula>0.09</formula>
    </cfRule>
    <cfRule type="cellIs" dxfId="161" priority="75" operator="equal">
      <formula>0.08</formula>
    </cfRule>
    <cfRule type="cellIs" dxfId="160" priority="76" operator="equal">
      <formula>0.045</formula>
    </cfRule>
    <cfRule type="cellIs" dxfId="159" priority="78" stopIfTrue="1" operator="equal">
      <formula>0.04</formula>
    </cfRule>
    <cfRule type="cellIs" dxfId="158" priority="79" stopIfTrue="1" operator="equal">
      <formula>0.035</formula>
    </cfRule>
  </conditionalFormatting>
  <conditionalFormatting sqref="S29">
    <cfRule type="cellIs" dxfId="157" priority="64" operator="equal">
      <formula>0.09</formula>
    </cfRule>
    <cfRule type="cellIs" dxfId="156" priority="65" operator="equal">
      <formula>0.08</formula>
    </cfRule>
    <cfRule type="cellIs" dxfId="155" priority="66" operator="equal">
      <formula>0.045</formula>
    </cfRule>
    <cfRule type="cellIs" dxfId="154" priority="68" stopIfTrue="1" operator="equal">
      <formula>0.04</formula>
    </cfRule>
    <cfRule type="cellIs" dxfId="153" priority="69" stopIfTrue="1" operator="equal">
      <formula>0.035</formula>
    </cfRule>
  </conditionalFormatting>
  <conditionalFormatting sqref="S29">
    <cfRule type="cellIs" dxfId="152" priority="61" operator="equal">
      <formula>0.72</formula>
    </cfRule>
  </conditionalFormatting>
  <conditionalFormatting sqref="T30">
    <cfRule type="cellIs" dxfId="151" priority="51" operator="equal">
      <formula>0.72</formula>
    </cfRule>
    <cfRule type="cellIs" dxfId="150" priority="54" operator="equal">
      <formula>0.09</formula>
    </cfRule>
    <cfRule type="cellIs" dxfId="149" priority="55" operator="equal">
      <formula>0.08</formula>
    </cfRule>
    <cfRule type="cellIs" dxfId="148" priority="56" operator="equal">
      <formula>0.045</formula>
    </cfRule>
    <cfRule type="cellIs" dxfId="147" priority="58" stopIfTrue="1" operator="equal">
      <formula>0.04</formula>
    </cfRule>
    <cfRule type="cellIs" dxfId="146" priority="59" stopIfTrue="1" operator="equal">
      <formula>0.035</formula>
    </cfRule>
  </conditionalFormatting>
  <conditionalFormatting sqref="S30">
    <cfRule type="cellIs" dxfId="145" priority="44" operator="equal">
      <formula>0.09</formula>
    </cfRule>
    <cfRule type="cellIs" dxfId="144" priority="45" operator="equal">
      <formula>0.08</formula>
    </cfRule>
    <cfRule type="cellIs" dxfId="143" priority="46" operator="equal">
      <formula>0.045</formula>
    </cfRule>
    <cfRule type="cellIs" dxfId="142" priority="48" stopIfTrue="1" operator="equal">
      <formula>0.04</formula>
    </cfRule>
    <cfRule type="cellIs" dxfId="141" priority="49" stopIfTrue="1" operator="equal">
      <formula>0.035</formula>
    </cfRule>
  </conditionalFormatting>
  <conditionalFormatting sqref="S30">
    <cfRule type="cellIs" dxfId="140" priority="41" operator="equal">
      <formula>0.72</formula>
    </cfRule>
  </conditionalFormatting>
  <conditionalFormatting sqref="T31">
    <cfRule type="cellIs" dxfId="139" priority="31" operator="equal">
      <formula>0.72</formula>
    </cfRule>
    <cfRule type="cellIs" dxfId="138" priority="34" operator="equal">
      <formula>0.09</formula>
    </cfRule>
    <cfRule type="cellIs" dxfId="137" priority="35" operator="equal">
      <formula>0.08</formula>
    </cfRule>
    <cfRule type="cellIs" dxfId="136" priority="36" operator="equal">
      <formula>0.045</formula>
    </cfRule>
    <cfRule type="cellIs" dxfId="135" priority="38" stopIfTrue="1" operator="equal">
      <formula>0.04</formula>
    </cfRule>
    <cfRule type="cellIs" dxfId="134" priority="39" stopIfTrue="1" operator="equal">
      <formula>0.035</formula>
    </cfRule>
  </conditionalFormatting>
  <conditionalFormatting sqref="S31">
    <cfRule type="cellIs" dxfId="133" priority="24" operator="equal">
      <formula>0.09</formula>
    </cfRule>
    <cfRule type="cellIs" dxfId="132" priority="25" operator="equal">
      <formula>0.08</formula>
    </cfRule>
    <cfRule type="cellIs" dxfId="131" priority="26" operator="equal">
      <formula>0.045</formula>
    </cfRule>
    <cfRule type="cellIs" dxfId="130" priority="28" stopIfTrue="1" operator="equal">
      <formula>0.04</formula>
    </cfRule>
    <cfRule type="cellIs" dxfId="129" priority="29" stopIfTrue="1" operator="equal">
      <formula>0.035</formula>
    </cfRule>
  </conditionalFormatting>
  <conditionalFormatting sqref="S31">
    <cfRule type="cellIs" dxfId="128" priority="21" operator="equal">
      <formula>0.72</formula>
    </cfRule>
  </conditionalFormatting>
  <conditionalFormatting sqref="T36">
    <cfRule type="cellIs" dxfId="127" priority="11" operator="equal">
      <formula>0.72</formula>
    </cfRule>
    <cfRule type="cellIs" dxfId="126" priority="14" operator="equal">
      <formula>0.09</formula>
    </cfRule>
    <cfRule type="cellIs" dxfId="125" priority="15" operator="equal">
      <formula>0.08</formula>
    </cfRule>
    <cfRule type="cellIs" dxfId="124" priority="16" operator="equal">
      <formula>0.045</formula>
    </cfRule>
    <cfRule type="cellIs" dxfId="123" priority="18" stopIfTrue="1" operator="equal">
      <formula>0.04</formula>
    </cfRule>
    <cfRule type="cellIs" dxfId="122" priority="19" stopIfTrue="1" operator="equal">
      <formula>0.035</formula>
    </cfRule>
  </conditionalFormatting>
  <conditionalFormatting sqref="S36">
    <cfRule type="cellIs" dxfId="121" priority="6" operator="equal">
      <formula>0.09</formula>
    </cfRule>
    <cfRule type="cellIs" dxfId="120" priority="7" operator="equal">
      <formula>0.08</formula>
    </cfRule>
    <cfRule type="cellIs" dxfId="119" priority="8" operator="equal">
      <formula>0.045</formula>
    </cfRule>
    <cfRule type="cellIs" dxfId="118" priority="9" stopIfTrue="1" operator="equal">
      <formula>0.04</formula>
    </cfRule>
    <cfRule type="cellIs" dxfId="117" priority="10" stopIfTrue="1" operator="equal">
      <formula>0.035</formula>
    </cfRule>
  </conditionalFormatting>
  <conditionalFormatting sqref="S36">
    <cfRule type="cellIs" dxfId="116" priority="5" operator="equal">
      <formula>0.72</formula>
    </cfRule>
  </conditionalFormatting>
  <printOptions gridLines="1"/>
  <pageMargins left="0.25" right="0.25" top="0.75" bottom="0.75" header="0.3" footer="0.3"/>
  <pageSetup paperSize="5" scale="50" fitToHeight="0" orientation="landscape" r:id="rId1"/>
  <headerFooter>
    <oddFooter>&amp;C&amp;P</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81" operator="lessThanOrEqual" id="{B58B0E4D-F6E5-4A48-94A5-A9F9D953B29A}">
            <xm:f>'Source Data Tables'!$I$26</xm:f>
            <x14:dxf>
              <font>
                <color auto="1"/>
              </font>
              <fill>
                <patternFill patternType="none">
                  <bgColor auto="1"/>
                </patternFill>
              </fill>
            </x14:dxf>
          </x14:cfRule>
          <x14:cfRule type="cellIs" priority="282" operator="greaterThanOrEqual" id="{096A4537-A645-4DC3-98A1-7C0B8FEB8460}">
            <xm:f>'Source Data Tables'!$I$25</xm:f>
            <x14:dxf>
              <font>
                <b/>
                <i val="0"/>
                <color theme="0"/>
              </font>
              <fill>
                <patternFill>
                  <bgColor rgb="FFFF0000"/>
                </patternFill>
              </fill>
            </x14:dxf>
          </x14:cfRule>
          <x14:cfRule type="cellIs" priority="286" operator="greaterThanOrEqual" id="{211FE10E-E1EF-40E1-9992-C1C8223B0491}">
            <xm:f>'Source Data Tables'!$I$23</xm:f>
            <x14:dxf>
              <font>
                <b/>
                <i val="0"/>
              </font>
              <fill>
                <patternFill>
                  <bgColor rgb="FFFFFF00"/>
                </patternFill>
              </fill>
            </x14:dxf>
          </x14:cfRule>
          <x14:cfRule type="cellIs" priority="289" operator="lessThanOrEqual" id="{BB03D302-D8AB-4A26-93D1-49B59EE57C60}">
            <xm:f>'Source Data Tables'!$I$22</xm:f>
            <x14:dxf>
              <font>
                <b/>
                <i val="0"/>
                <color theme="0"/>
              </font>
              <fill>
                <patternFill>
                  <bgColor rgb="FF00B050"/>
                </patternFill>
              </fill>
            </x14:dxf>
          </x14:cfRule>
          <xm:sqref>T4:T10 S32:T35 S37:T64 S14:T15 S21:T23 S25:T25</xm:sqref>
        </x14:conditionalFormatting>
        <x14:conditionalFormatting xmlns:xm="http://schemas.microsoft.com/office/excel/2006/main">
          <x14:cfRule type="cellIs" priority="272" operator="lessThanOrEqual" id="{2849392B-A66D-4EDC-A4DB-00DB6ED95E13}">
            <xm:f>'Source Data Tables'!$I$26</xm:f>
            <x14:dxf>
              <font>
                <color auto="1"/>
              </font>
              <fill>
                <patternFill patternType="none">
                  <bgColor auto="1"/>
                </patternFill>
              </fill>
            </x14:dxf>
          </x14:cfRule>
          <x14:cfRule type="cellIs" priority="273" operator="greaterThanOrEqual" id="{F047DC59-A0E5-4869-A981-0B9A7F35579F}">
            <xm:f>'Source Data Tables'!$I$25</xm:f>
            <x14:dxf>
              <font>
                <b/>
                <i val="0"/>
                <color theme="0"/>
              </font>
              <fill>
                <patternFill>
                  <bgColor rgb="FFFF0000"/>
                </patternFill>
              </fill>
            </x14:dxf>
          </x14:cfRule>
          <x14:cfRule type="cellIs" priority="277" operator="lessThanOrEqual" id="{A33B4295-B996-4C26-A0EE-B4AA1BAAC7F0}">
            <xm:f>'Source Data Tables'!$I$22</xm:f>
            <x14:dxf>
              <font>
                <b/>
                <i val="0"/>
                <color theme="0"/>
              </font>
              <fill>
                <patternFill>
                  <bgColor rgb="FF00B050"/>
                </patternFill>
              </fill>
            </x14:dxf>
          </x14:cfRule>
          <x14:cfRule type="cellIs" priority="278" operator="greaterThanOrEqual" id="{C004ED7D-B7E3-4E8C-9105-9F4BCACEE60A}">
            <xm:f>'Source Data Tables'!$I$23</xm:f>
            <x14:dxf>
              <font>
                <b/>
                <i val="0"/>
              </font>
              <fill>
                <patternFill>
                  <bgColor rgb="FFFFFF00"/>
                </patternFill>
              </fill>
            </x14:dxf>
          </x14:cfRule>
          <xm:sqref>R64</xm:sqref>
        </x14:conditionalFormatting>
        <x14:conditionalFormatting xmlns:xm="http://schemas.microsoft.com/office/excel/2006/main">
          <x14:cfRule type="cellIs" priority="262" operator="lessThanOrEqual" id="{94B03CF3-1750-42DF-A005-20B8980F2E5A}">
            <xm:f>'Source Data Tables'!$I$26</xm:f>
            <x14:dxf>
              <font>
                <color auto="1"/>
              </font>
              <fill>
                <patternFill patternType="none">
                  <bgColor auto="1"/>
                </patternFill>
              </fill>
            </x14:dxf>
          </x14:cfRule>
          <x14:cfRule type="cellIs" priority="263" operator="greaterThanOrEqual" id="{7952E5C9-886A-4810-8B40-384E862E5745}">
            <xm:f>'Source Data Tables'!$I$25</xm:f>
            <x14:dxf>
              <font>
                <b/>
                <i val="0"/>
                <color theme="0"/>
              </font>
              <fill>
                <patternFill>
                  <bgColor rgb="FFFF0000"/>
                </patternFill>
              </fill>
            </x14:dxf>
          </x14:cfRule>
          <x14:cfRule type="cellIs" priority="267" operator="greaterThanOrEqual" id="{EA7FE495-3360-4143-8761-56B74CCE7798}">
            <xm:f>'Source Data Tables'!$I$23</xm:f>
            <x14:dxf>
              <font>
                <b/>
                <i val="0"/>
              </font>
              <fill>
                <patternFill>
                  <bgColor rgb="FFFFFF00"/>
                </patternFill>
              </fill>
            </x14:dxf>
          </x14:cfRule>
          <x14:cfRule type="cellIs" priority="270" operator="lessThanOrEqual" id="{AEC935E5-14E3-4949-8A18-219D81BCA2B5}">
            <xm:f>'Source Data Tables'!$I$22</xm:f>
            <x14:dxf>
              <font>
                <b/>
                <i val="0"/>
                <color theme="0"/>
              </font>
              <fill>
                <patternFill>
                  <bgColor rgb="FF00B050"/>
                </patternFill>
              </fill>
            </x14:dxf>
          </x14:cfRule>
          <xm:sqref>S4:S10</xm:sqref>
        </x14:conditionalFormatting>
        <x14:conditionalFormatting xmlns:xm="http://schemas.microsoft.com/office/excel/2006/main">
          <x14:cfRule type="cellIs" priority="252" operator="lessThanOrEqual" id="{ECB0A26F-B0B9-4F62-AAAE-6CF77C467134}">
            <xm:f>'Source Data Tables'!$I$26</xm:f>
            <x14:dxf>
              <font>
                <color auto="1"/>
              </font>
              <fill>
                <patternFill patternType="none">
                  <bgColor auto="1"/>
                </patternFill>
              </fill>
            </x14:dxf>
          </x14:cfRule>
          <x14:cfRule type="cellIs" priority="253" operator="greaterThanOrEqual" id="{D7C7CCC4-2919-4BD8-BE2F-0FD45C28DB6E}">
            <xm:f>'Source Data Tables'!$I$25</xm:f>
            <x14:dxf>
              <font>
                <b/>
                <i val="0"/>
                <color theme="0"/>
              </font>
              <fill>
                <patternFill>
                  <bgColor rgb="FFFF0000"/>
                </patternFill>
              </fill>
            </x14:dxf>
          </x14:cfRule>
          <x14:cfRule type="cellIs" priority="257" operator="greaterThanOrEqual" id="{A707FB85-D838-4D4C-8F6E-93CC432D2BD6}">
            <xm:f>'Source Data Tables'!$I$23</xm:f>
            <x14:dxf>
              <font>
                <b/>
                <i val="0"/>
              </font>
              <fill>
                <patternFill>
                  <bgColor rgb="FFFFFF00"/>
                </patternFill>
              </fill>
            </x14:dxf>
          </x14:cfRule>
          <x14:cfRule type="cellIs" priority="260" operator="lessThanOrEqual" id="{CDB0B610-C7AB-419C-AA0A-E8DFFB8446E0}">
            <xm:f>'Source Data Tables'!$I$22</xm:f>
            <x14:dxf>
              <font>
                <b/>
                <i val="0"/>
                <color theme="0"/>
              </font>
              <fill>
                <patternFill>
                  <bgColor rgb="FF00B050"/>
                </patternFill>
              </fill>
            </x14:dxf>
          </x14:cfRule>
          <xm:sqref>T11</xm:sqref>
        </x14:conditionalFormatting>
        <x14:conditionalFormatting xmlns:xm="http://schemas.microsoft.com/office/excel/2006/main">
          <x14:cfRule type="cellIs" priority="242" operator="lessThanOrEqual" id="{89045C73-8DDD-4557-A539-9AE98689340B}">
            <xm:f>'Source Data Tables'!$I$26</xm:f>
            <x14:dxf>
              <font>
                <color auto="1"/>
              </font>
              <fill>
                <patternFill patternType="none">
                  <bgColor auto="1"/>
                </patternFill>
              </fill>
            </x14:dxf>
          </x14:cfRule>
          <x14:cfRule type="cellIs" priority="243" operator="greaterThanOrEqual" id="{38C43D37-E9D4-472F-B1A8-91BD2DFC671C}">
            <xm:f>'Source Data Tables'!$I$25</xm:f>
            <x14:dxf>
              <font>
                <b/>
                <i val="0"/>
                <color theme="0"/>
              </font>
              <fill>
                <patternFill>
                  <bgColor rgb="FFFF0000"/>
                </patternFill>
              </fill>
            </x14:dxf>
          </x14:cfRule>
          <x14:cfRule type="cellIs" priority="247" operator="greaterThanOrEqual" id="{B1E26231-FAE2-43E1-AF8A-C7C6A3C64F4D}">
            <xm:f>'Source Data Tables'!$I$23</xm:f>
            <x14:dxf>
              <font>
                <b/>
                <i val="0"/>
              </font>
              <fill>
                <patternFill>
                  <bgColor rgb="FFFFFF00"/>
                </patternFill>
              </fill>
            </x14:dxf>
          </x14:cfRule>
          <x14:cfRule type="cellIs" priority="250" operator="lessThanOrEqual" id="{D327E29F-5DB2-4520-AAF9-420764FC22F2}">
            <xm:f>'Source Data Tables'!$I$22</xm:f>
            <x14:dxf>
              <font>
                <b/>
                <i val="0"/>
                <color theme="0"/>
              </font>
              <fill>
                <patternFill>
                  <bgColor rgb="FF00B050"/>
                </patternFill>
              </fill>
            </x14:dxf>
          </x14:cfRule>
          <xm:sqref>S11</xm:sqref>
        </x14:conditionalFormatting>
        <x14:conditionalFormatting xmlns:xm="http://schemas.microsoft.com/office/excel/2006/main">
          <x14:cfRule type="cellIs" priority="232" operator="lessThanOrEqual" id="{E851CA4D-C862-4F4D-A7A2-BDCD6C1AB15C}">
            <xm:f>'Source Data Tables'!$I$26</xm:f>
            <x14:dxf>
              <font>
                <color auto="1"/>
              </font>
              <fill>
                <patternFill patternType="none">
                  <bgColor auto="1"/>
                </patternFill>
              </fill>
            </x14:dxf>
          </x14:cfRule>
          <x14:cfRule type="cellIs" priority="233" operator="greaterThanOrEqual" id="{5CA93FEB-10D7-4178-ADEF-1AA15787BC54}">
            <xm:f>'Source Data Tables'!$I$25</xm:f>
            <x14:dxf>
              <font>
                <b/>
                <i val="0"/>
                <color theme="0"/>
              </font>
              <fill>
                <patternFill>
                  <bgColor rgb="FFFF0000"/>
                </patternFill>
              </fill>
            </x14:dxf>
          </x14:cfRule>
          <x14:cfRule type="cellIs" priority="237" operator="greaterThanOrEqual" id="{BE380630-F305-458E-AA8B-6E3268F9C689}">
            <xm:f>'Source Data Tables'!$I$23</xm:f>
            <x14:dxf>
              <font>
                <b/>
                <i val="0"/>
              </font>
              <fill>
                <patternFill>
                  <bgColor rgb="FFFFFF00"/>
                </patternFill>
              </fill>
            </x14:dxf>
          </x14:cfRule>
          <x14:cfRule type="cellIs" priority="240" operator="lessThanOrEqual" id="{3E1EB389-6D86-45F2-84A9-83775779E006}">
            <xm:f>'Source Data Tables'!$I$22</xm:f>
            <x14:dxf>
              <font>
                <b/>
                <i val="0"/>
                <color theme="0"/>
              </font>
              <fill>
                <patternFill>
                  <bgColor rgb="FF00B050"/>
                </patternFill>
              </fill>
            </x14:dxf>
          </x14:cfRule>
          <xm:sqref>T13</xm:sqref>
        </x14:conditionalFormatting>
        <x14:conditionalFormatting xmlns:xm="http://schemas.microsoft.com/office/excel/2006/main">
          <x14:cfRule type="cellIs" priority="222" operator="lessThanOrEqual" id="{B3854EF9-7D42-45DF-A914-6C9FA06E7E90}">
            <xm:f>'Source Data Tables'!$I$26</xm:f>
            <x14:dxf>
              <font>
                <color auto="1"/>
              </font>
              <fill>
                <patternFill patternType="none">
                  <bgColor auto="1"/>
                </patternFill>
              </fill>
            </x14:dxf>
          </x14:cfRule>
          <x14:cfRule type="cellIs" priority="223" operator="greaterThanOrEqual" id="{C1A55AA4-1D69-4728-A6ED-CCE5F8B8C0F0}">
            <xm:f>'Source Data Tables'!$I$25</xm:f>
            <x14:dxf>
              <font>
                <b/>
                <i val="0"/>
                <color theme="0"/>
              </font>
              <fill>
                <patternFill>
                  <bgColor rgb="FFFF0000"/>
                </patternFill>
              </fill>
            </x14:dxf>
          </x14:cfRule>
          <x14:cfRule type="cellIs" priority="227" operator="greaterThanOrEqual" id="{12490269-A377-4B45-80E8-AF60CF8F81F9}">
            <xm:f>'Source Data Tables'!$I$23</xm:f>
            <x14:dxf>
              <font>
                <b/>
                <i val="0"/>
              </font>
              <fill>
                <patternFill>
                  <bgColor rgb="FFFFFF00"/>
                </patternFill>
              </fill>
            </x14:dxf>
          </x14:cfRule>
          <x14:cfRule type="cellIs" priority="230" operator="lessThanOrEqual" id="{7AFA11A2-F723-4A8D-A608-DD14E77C558D}">
            <xm:f>'Source Data Tables'!$I$22</xm:f>
            <x14:dxf>
              <font>
                <b/>
                <i val="0"/>
                <color theme="0"/>
              </font>
              <fill>
                <patternFill>
                  <bgColor rgb="FF00B050"/>
                </patternFill>
              </fill>
            </x14:dxf>
          </x14:cfRule>
          <xm:sqref>S13</xm:sqref>
        </x14:conditionalFormatting>
        <x14:conditionalFormatting xmlns:xm="http://schemas.microsoft.com/office/excel/2006/main">
          <x14:cfRule type="cellIs" priority="212" operator="lessThanOrEqual" id="{F9F38E4E-7085-403B-B26C-49810B2A90CF}">
            <xm:f>'Source Data Tables'!$I$26</xm:f>
            <x14:dxf>
              <font>
                <color auto="1"/>
              </font>
              <fill>
                <patternFill patternType="none">
                  <bgColor auto="1"/>
                </patternFill>
              </fill>
            </x14:dxf>
          </x14:cfRule>
          <x14:cfRule type="cellIs" priority="213" operator="greaterThanOrEqual" id="{624E4B28-66E9-450C-A4A6-3CE472C9BFF4}">
            <xm:f>'Source Data Tables'!$I$25</xm:f>
            <x14:dxf>
              <font>
                <b/>
                <i val="0"/>
                <color theme="0"/>
              </font>
              <fill>
                <patternFill>
                  <bgColor rgb="FFFF0000"/>
                </patternFill>
              </fill>
            </x14:dxf>
          </x14:cfRule>
          <x14:cfRule type="cellIs" priority="217" operator="greaterThanOrEqual" id="{A92F94A8-7A1B-4C51-8F46-7E9452B75A05}">
            <xm:f>'Source Data Tables'!$I$23</xm:f>
            <x14:dxf>
              <font>
                <b/>
                <i val="0"/>
              </font>
              <fill>
                <patternFill>
                  <bgColor rgb="FFFFFF00"/>
                </patternFill>
              </fill>
            </x14:dxf>
          </x14:cfRule>
          <x14:cfRule type="cellIs" priority="220" operator="lessThanOrEqual" id="{E9E99D53-5B65-4ADD-BF05-0EE20DCB053C}">
            <xm:f>'Source Data Tables'!$I$22</xm:f>
            <x14:dxf>
              <font>
                <b/>
                <i val="0"/>
                <color theme="0"/>
              </font>
              <fill>
                <patternFill>
                  <bgColor rgb="FF00B050"/>
                </patternFill>
              </fill>
            </x14:dxf>
          </x14:cfRule>
          <xm:sqref>T12</xm:sqref>
        </x14:conditionalFormatting>
        <x14:conditionalFormatting xmlns:xm="http://schemas.microsoft.com/office/excel/2006/main">
          <x14:cfRule type="cellIs" priority="202" operator="lessThanOrEqual" id="{20909185-31FB-4079-92C1-770B6554B63C}">
            <xm:f>'Source Data Tables'!$I$26</xm:f>
            <x14:dxf>
              <font>
                <color auto="1"/>
              </font>
              <fill>
                <patternFill patternType="none">
                  <bgColor auto="1"/>
                </patternFill>
              </fill>
            </x14:dxf>
          </x14:cfRule>
          <x14:cfRule type="cellIs" priority="203" operator="greaterThanOrEqual" id="{139626D3-76A7-4BA5-8A00-D2D62AAF0C4E}">
            <xm:f>'Source Data Tables'!$I$25</xm:f>
            <x14:dxf>
              <font>
                <b/>
                <i val="0"/>
                <color theme="0"/>
              </font>
              <fill>
                <patternFill>
                  <bgColor rgb="FFFF0000"/>
                </patternFill>
              </fill>
            </x14:dxf>
          </x14:cfRule>
          <x14:cfRule type="cellIs" priority="207" operator="greaterThanOrEqual" id="{030381E1-6B6C-444A-A348-B979782A82AA}">
            <xm:f>'Source Data Tables'!$I$23</xm:f>
            <x14:dxf>
              <font>
                <b/>
                <i val="0"/>
              </font>
              <fill>
                <patternFill>
                  <bgColor rgb="FFFFFF00"/>
                </patternFill>
              </fill>
            </x14:dxf>
          </x14:cfRule>
          <x14:cfRule type="cellIs" priority="210" operator="lessThanOrEqual" id="{546E531E-67C7-4E35-824D-511B9EDF0A75}">
            <xm:f>'Source Data Tables'!$I$22</xm:f>
            <x14:dxf>
              <font>
                <b/>
                <i val="0"/>
                <color theme="0"/>
              </font>
              <fill>
                <patternFill>
                  <bgColor rgb="FF00B050"/>
                </patternFill>
              </fill>
            </x14:dxf>
          </x14:cfRule>
          <xm:sqref>S12</xm:sqref>
        </x14:conditionalFormatting>
        <x14:conditionalFormatting xmlns:xm="http://schemas.microsoft.com/office/excel/2006/main">
          <x14:cfRule type="cellIs" priority="192" operator="lessThanOrEqual" id="{D87FB8E6-F7DA-4C17-9F83-3703F4918B4D}">
            <xm:f>'Source Data Tables'!$I$26</xm:f>
            <x14:dxf>
              <font>
                <color auto="1"/>
              </font>
              <fill>
                <patternFill patternType="none">
                  <bgColor auto="1"/>
                </patternFill>
              </fill>
            </x14:dxf>
          </x14:cfRule>
          <x14:cfRule type="cellIs" priority="193" operator="greaterThanOrEqual" id="{412259DB-A895-4675-B9F5-1EA74DC8201C}">
            <xm:f>'Source Data Tables'!$I$25</xm:f>
            <x14:dxf>
              <font>
                <b/>
                <i val="0"/>
                <color theme="0"/>
              </font>
              <fill>
                <patternFill>
                  <bgColor rgb="FFFF0000"/>
                </patternFill>
              </fill>
            </x14:dxf>
          </x14:cfRule>
          <x14:cfRule type="cellIs" priority="197" operator="greaterThanOrEqual" id="{257D2B10-0F3B-4D2F-AFC7-E64C6624E8CD}">
            <xm:f>'Source Data Tables'!$I$23</xm:f>
            <x14:dxf>
              <font>
                <b/>
                <i val="0"/>
              </font>
              <fill>
                <patternFill>
                  <bgColor rgb="FFFFFF00"/>
                </patternFill>
              </fill>
            </x14:dxf>
          </x14:cfRule>
          <x14:cfRule type="cellIs" priority="200" operator="lessThanOrEqual" id="{80A4BD84-E60A-4F6F-88EF-4D928CEA14C6}">
            <xm:f>'Source Data Tables'!$I$22</xm:f>
            <x14:dxf>
              <font>
                <b/>
                <i val="0"/>
                <color theme="0"/>
              </font>
              <fill>
                <patternFill>
                  <bgColor rgb="FF00B050"/>
                </patternFill>
              </fill>
            </x14:dxf>
          </x14:cfRule>
          <xm:sqref>T16</xm:sqref>
        </x14:conditionalFormatting>
        <x14:conditionalFormatting xmlns:xm="http://schemas.microsoft.com/office/excel/2006/main">
          <x14:cfRule type="cellIs" priority="182" operator="lessThanOrEqual" id="{64A48A1E-240A-4598-AF14-E51F0C0E3946}">
            <xm:f>'Source Data Tables'!$I$26</xm:f>
            <x14:dxf>
              <font>
                <color auto="1"/>
              </font>
              <fill>
                <patternFill patternType="none">
                  <bgColor auto="1"/>
                </patternFill>
              </fill>
            </x14:dxf>
          </x14:cfRule>
          <x14:cfRule type="cellIs" priority="183" operator="greaterThanOrEqual" id="{BFD63863-D728-4D06-8ADA-AB09FF91DD86}">
            <xm:f>'Source Data Tables'!$I$25</xm:f>
            <x14:dxf>
              <font>
                <b/>
                <i val="0"/>
                <color theme="0"/>
              </font>
              <fill>
                <patternFill>
                  <bgColor rgb="FFFF0000"/>
                </patternFill>
              </fill>
            </x14:dxf>
          </x14:cfRule>
          <x14:cfRule type="cellIs" priority="187" operator="greaterThanOrEqual" id="{BFD28D53-AFFD-4D12-92BC-5E70E0170162}">
            <xm:f>'Source Data Tables'!$I$23</xm:f>
            <x14:dxf>
              <font>
                <b/>
                <i val="0"/>
              </font>
              <fill>
                <patternFill>
                  <bgColor rgb="FFFFFF00"/>
                </patternFill>
              </fill>
            </x14:dxf>
          </x14:cfRule>
          <x14:cfRule type="cellIs" priority="190" operator="lessThanOrEqual" id="{7D1EF81E-C650-462E-BB87-C6F2AAC8C8A7}">
            <xm:f>'Source Data Tables'!$I$22</xm:f>
            <x14:dxf>
              <font>
                <b/>
                <i val="0"/>
                <color theme="0"/>
              </font>
              <fill>
                <patternFill>
                  <bgColor rgb="FF00B050"/>
                </patternFill>
              </fill>
            </x14:dxf>
          </x14:cfRule>
          <xm:sqref>S16</xm:sqref>
        </x14:conditionalFormatting>
        <x14:conditionalFormatting xmlns:xm="http://schemas.microsoft.com/office/excel/2006/main">
          <x14:cfRule type="cellIs" priority="172" operator="lessThanOrEqual" id="{D5E06543-6A70-4CB5-847D-F2189D608EDD}">
            <xm:f>'Source Data Tables'!$I$26</xm:f>
            <x14:dxf>
              <font>
                <color auto="1"/>
              </font>
              <fill>
                <patternFill patternType="none">
                  <bgColor auto="1"/>
                </patternFill>
              </fill>
            </x14:dxf>
          </x14:cfRule>
          <x14:cfRule type="cellIs" priority="173" operator="greaterThanOrEqual" id="{EB51A3A5-90F8-499E-A3C7-512679B47849}">
            <xm:f>'Source Data Tables'!$I$25</xm:f>
            <x14:dxf>
              <font>
                <b/>
                <i val="0"/>
                <color theme="0"/>
              </font>
              <fill>
                <patternFill>
                  <bgColor rgb="FFFF0000"/>
                </patternFill>
              </fill>
            </x14:dxf>
          </x14:cfRule>
          <x14:cfRule type="cellIs" priority="177" operator="greaterThanOrEqual" id="{34AFA18B-BF4C-4787-857F-F738F0AFB7F5}">
            <xm:f>'Source Data Tables'!$I$23</xm:f>
            <x14:dxf>
              <font>
                <b/>
                <i val="0"/>
              </font>
              <fill>
                <patternFill>
                  <bgColor rgb="FFFFFF00"/>
                </patternFill>
              </fill>
            </x14:dxf>
          </x14:cfRule>
          <x14:cfRule type="cellIs" priority="180" operator="lessThanOrEqual" id="{7952E73F-24D5-48C2-9CA5-3579EBC4DFDB}">
            <xm:f>'Source Data Tables'!$I$22</xm:f>
            <x14:dxf>
              <font>
                <b/>
                <i val="0"/>
                <color theme="0"/>
              </font>
              <fill>
                <patternFill>
                  <bgColor rgb="FF00B050"/>
                </patternFill>
              </fill>
            </x14:dxf>
          </x14:cfRule>
          <xm:sqref>T17:T20</xm:sqref>
        </x14:conditionalFormatting>
        <x14:conditionalFormatting xmlns:xm="http://schemas.microsoft.com/office/excel/2006/main">
          <x14:cfRule type="cellIs" priority="162" operator="lessThanOrEqual" id="{21CEBAD1-1E81-4C56-8FC8-E6614CE4D016}">
            <xm:f>'Source Data Tables'!$I$26</xm:f>
            <x14:dxf>
              <font>
                <color auto="1"/>
              </font>
              <fill>
                <patternFill patternType="none">
                  <bgColor auto="1"/>
                </patternFill>
              </fill>
            </x14:dxf>
          </x14:cfRule>
          <x14:cfRule type="cellIs" priority="163" operator="greaterThanOrEqual" id="{76931462-03AC-4B65-BB87-F9144D6605DC}">
            <xm:f>'Source Data Tables'!$I$25</xm:f>
            <x14:dxf>
              <font>
                <b/>
                <i val="0"/>
                <color theme="0"/>
              </font>
              <fill>
                <patternFill>
                  <bgColor rgb="FFFF0000"/>
                </patternFill>
              </fill>
            </x14:dxf>
          </x14:cfRule>
          <x14:cfRule type="cellIs" priority="167" operator="greaterThanOrEqual" id="{205C6667-0506-4EF9-BA06-35747B44A01F}">
            <xm:f>'Source Data Tables'!$I$23</xm:f>
            <x14:dxf>
              <font>
                <b/>
                <i val="0"/>
              </font>
              <fill>
                <patternFill>
                  <bgColor rgb="FFFFFF00"/>
                </patternFill>
              </fill>
            </x14:dxf>
          </x14:cfRule>
          <x14:cfRule type="cellIs" priority="170" operator="lessThanOrEqual" id="{1474FD38-A1F5-4A16-BC36-969A1F5DFBE8}">
            <xm:f>'Source Data Tables'!$I$22</xm:f>
            <x14:dxf>
              <font>
                <b/>
                <i val="0"/>
                <color theme="0"/>
              </font>
              <fill>
                <patternFill>
                  <bgColor rgb="FF00B050"/>
                </patternFill>
              </fill>
            </x14:dxf>
          </x14:cfRule>
          <xm:sqref>S17:S20</xm:sqref>
        </x14:conditionalFormatting>
        <x14:conditionalFormatting xmlns:xm="http://schemas.microsoft.com/office/excel/2006/main">
          <x14:cfRule type="cellIs" priority="152" operator="lessThanOrEqual" id="{87EF1589-4886-41A9-B742-535B1A7B7EE7}">
            <xm:f>'Source Data Tables'!$I$26</xm:f>
            <x14:dxf>
              <font>
                <color auto="1"/>
              </font>
              <fill>
                <patternFill patternType="none">
                  <bgColor auto="1"/>
                </patternFill>
              </fill>
            </x14:dxf>
          </x14:cfRule>
          <x14:cfRule type="cellIs" priority="153" operator="greaterThanOrEqual" id="{B215B46A-D154-49F5-9078-630BA982E407}">
            <xm:f>'Source Data Tables'!$I$25</xm:f>
            <x14:dxf>
              <font>
                <b/>
                <i val="0"/>
                <color theme="0"/>
              </font>
              <fill>
                <patternFill>
                  <bgColor rgb="FFFF0000"/>
                </patternFill>
              </fill>
            </x14:dxf>
          </x14:cfRule>
          <x14:cfRule type="cellIs" priority="157" operator="greaterThanOrEqual" id="{E375B306-3F8B-41EC-B949-9D8FACDCD3CC}">
            <xm:f>'Source Data Tables'!$I$23</xm:f>
            <x14:dxf>
              <font>
                <b/>
                <i val="0"/>
              </font>
              <fill>
                <patternFill>
                  <bgColor rgb="FFFFFF00"/>
                </patternFill>
              </fill>
            </x14:dxf>
          </x14:cfRule>
          <x14:cfRule type="cellIs" priority="160" operator="lessThanOrEqual" id="{C6B47097-C0F9-4DE1-822A-70BB86EB1486}">
            <xm:f>'Source Data Tables'!$I$22</xm:f>
            <x14:dxf>
              <font>
                <b/>
                <i val="0"/>
                <color theme="0"/>
              </font>
              <fill>
                <patternFill>
                  <bgColor rgb="FF00B050"/>
                </patternFill>
              </fill>
            </x14:dxf>
          </x14:cfRule>
          <xm:sqref>T24</xm:sqref>
        </x14:conditionalFormatting>
        <x14:conditionalFormatting xmlns:xm="http://schemas.microsoft.com/office/excel/2006/main">
          <x14:cfRule type="cellIs" priority="142" operator="lessThanOrEqual" id="{AD2840C8-95C9-446A-934C-2D13A51217AF}">
            <xm:f>'Source Data Tables'!$I$26</xm:f>
            <x14:dxf>
              <font>
                <color auto="1"/>
              </font>
              <fill>
                <patternFill patternType="none">
                  <bgColor auto="1"/>
                </patternFill>
              </fill>
            </x14:dxf>
          </x14:cfRule>
          <x14:cfRule type="cellIs" priority="143" operator="greaterThanOrEqual" id="{1677474E-A164-4831-850D-48D16FD02024}">
            <xm:f>'Source Data Tables'!$I$25</xm:f>
            <x14:dxf>
              <font>
                <b/>
                <i val="0"/>
                <color theme="0"/>
              </font>
              <fill>
                <patternFill>
                  <bgColor rgb="FFFF0000"/>
                </patternFill>
              </fill>
            </x14:dxf>
          </x14:cfRule>
          <x14:cfRule type="cellIs" priority="147" operator="greaterThanOrEqual" id="{20A0BF99-0E10-4FDF-818C-7068EB8F32B9}">
            <xm:f>'Source Data Tables'!$I$23</xm:f>
            <x14:dxf>
              <font>
                <b/>
                <i val="0"/>
              </font>
              <fill>
                <patternFill>
                  <bgColor rgb="FFFFFF00"/>
                </patternFill>
              </fill>
            </x14:dxf>
          </x14:cfRule>
          <x14:cfRule type="cellIs" priority="150" operator="lessThanOrEqual" id="{A74225B7-29EC-4483-8C2A-3850A04A3931}">
            <xm:f>'Source Data Tables'!$I$22</xm:f>
            <x14:dxf>
              <font>
                <b/>
                <i val="0"/>
                <color theme="0"/>
              </font>
              <fill>
                <patternFill>
                  <bgColor rgb="FF00B050"/>
                </patternFill>
              </fill>
            </x14:dxf>
          </x14:cfRule>
          <xm:sqref>S24</xm:sqref>
        </x14:conditionalFormatting>
        <x14:conditionalFormatting xmlns:xm="http://schemas.microsoft.com/office/excel/2006/main">
          <x14:cfRule type="cellIs" priority="132" operator="lessThanOrEqual" id="{6FD5C994-650F-4168-B014-604589FBEEA5}">
            <xm:f>'Source Data Tables'!$I$26</xm:f>
            <x14:dxf>
              <font>
                <color auto="1"/>
              </font>
              <fill>
                <patternFill patternType="none">
                  <bgColor auto="1"/>
                </patternFill>
              </fill>
            </x14:dxf>
          </x14:cfRule>
          <x14:cfRule type="cellIs" priority="133" operator="greaterThanOrEqual" id="{9F00413F-2122-4228-B432-6D32DD751327}">
            <xm:f>'Source Data Tables'!$I$25</xm:f>
            <x14:dxf>
              <font>
                <b/>
                <i val="0"/>
                <color theme="0"/>
              </font>
              <fill>
                <patternFill>
                  <bgColor rgb="FFFF0000"/>
                </patternFill>
              </fill>
            </x14:dxf>
          </x14:cfRule>
          <x14:cfRule type="cellIs" priority="137" operator="greaterThanOrEqual" id="{B862885D-5951-485E-A374-7C44E5E1F0C5}">
            <xm:f>'Source Data Tables'!$I$23</xm:f>
            <x14:dxf>
              <font>
                <b/>
                <i val="0"/>
              </font>
              <fill>
                <patternFill>
                  <bgColor rgb="FFFFFF00"/>
                </patternFill>
              </fill>
            </x14:dxf>
          </x14:cfRule>
          <x14:cfRule type="cellIs" priority="140" operator="lessThanOrEqual" id="{E99ECD50-4F9E-4396-A13C-20F77BA9EF94}">
            <xm:f>'Source Data Tables'!$I$22</xm:f>
            <x14:dxf>
              <font>
                <b/>
                <i val="0"/>
                <color theme="0"/>
              </font>
              <fill>
                <patternFill>
                  <bgColor rgb="FF00B050"/>
                </patternFill>
              </fill>
            </x14:dxf>
          </x14:cfRule>
          <xm:sqref>T26</xm:sqref>
        </x14:conditionalFormatting>
        <x14:conditionalFormatting xmlns:xm="http://schemas.microsoft.com/office/excel/2006/main">
          <x14:cfRule type="cellIs" priority="122" operator="lessThanOrEqual" id="{6E9C17BB-1036-4652-BAA4-A5210BF8F6E6}">
            <xm:f>'Source Data Tables'!$I$26</xm:f>
            <x14:dxf>
              <font>
                <color auto="1"/>
              </font>
              <fill>
                <patternFill patternType="none">
                  <bgColor auto="1"/>
                </patternFill>
              </fill>
            </x14:dxf>
          </x14:cfRule>
          <x14:cfRule type="cellIs" priority="123" operator="greaterThanOrEqual" id="{80DA7CF7-30B7-471A-9881-DF83B9FC0C17}">
            <xm:f>'Source Data Tables'!$I$25</xm:f>
            <x14:dxf>
              <font>
                <b/>
                <i val="0"/>
                <color theme="0"/>
              </font>
              <fill>
                <patternFill>
                  <bgColor rgb="FFFF0000"/>
                </patternFill>
              </fill>
            </x14:dxf>
          </x14:cfRule>
          <x14:cfRule type="cellIs" priority="127" operator="greaterThanOrEqual" id="{1BCAE4CE-4475-45F9-AFB6-EE795729ED50}">
            <xm:f>'Source Data Tables'!$I$23</xm:f>
            <x14:dxf>
              <font>
                <b/>
                <i val="0"/>
              </font>
              <fill>
                <patternFill>
                  <bgColor rgb="FFFFFF00"/>
                </patternFill>
              </fill>
            </x14:dxf>
          </x14:cfRule>
          <x14:cfRule type="cellIs" priority="130" operator="lessThanOrEqual" id="{DFC2885C-2E68-4B17-9980-6D7DC8057272}">
            <xm:f>'Source Data Tables'!$I$22</xm:f>
            <x14:dxf>
              <font>
                <b/>
                <i val="0"/>
                <color theme="0"/>
              </font>
              <fill>
                <patternFill>
                  <bgColor rgb="FF00B050"/>
                </patternFill>
              </fill>
            </x14:dxf>
          </x14:cfRule>
          <xm:sqref>S26</xm:sqref>
        </x14:conditionalFormatting>
        <x14:conditionalFormatting xmlns:xm="http://schemas.microsoft.com/office/excel/2006/main">
          <x14:cfRule type="cellIs" priority="112" operator="lessThanOrEqual" id="{3D904485-2144-4D0A-BEE8-8AAEE3933F03}">
            <xm:f>'Source Data Tables'!$I$26</xm:f>
            <x14:dxf>
              <font>
                <color auto="1"/>
              </font>
              <fill>
                <patternFill patternType="none">
                  <bgColor auto="1"/>
                </patternFill>
              </fill>
            </x14:dxf>
          </x14:cfRule>
          <x14:cfRule type="cellIs" priority="113" operator="greaterThanOrEqual" id="{59611D0B-2C98-448F-B5EC-E897D7A5BC45}">
            <xm:f>'Source Data Tables'!$I$25</xm:f>
            <x14:dxf>
              <font>
                <b/>
                <i val="0"/>
                <color theme="0"/>
              </font>
              <fill>
                <patternFill>
                  <bgColor rgb="FFFF0000"/>
                </patternFill>
              </fill>
            </x14:dxf>
          </x14:cfRule>
          <x14:cfRule type="cellIs" priority="117" operator="greaterThanOrEqual" id="{C9A59FE0-9969-450D-A0C9-77E6D56E9C85}">
            <xm:f>'Source Data Tables'!$I$23</xm:f>
            <x14:dxf>
              <font>
                <b/>
                <i val="0"/>
              </font>
              <fill>
                <patternFill>
                  <bgColor rgb="FFFFFF00"/>
                </patternFill>
              </fill>
            </x14:dxf>
          </x14:cfRule>
          <x14:cfRule type="cellIs" priority="120" operator="lessThanOrEqual" id="{5FC988FF-B0A3-4906-B741-3211FCFD13CF}">
            <xm:f>'Source Data Tables'!$I$22</xm:f>
            <x14:dxf>
              <font>
                <b/>
                <i val="0"/>
                <color theme="0"/>
              </font>
              <fill>
                <patternFill>
                  <bgColor rgb="FF00B050"/>
                </patternFill>
              </fill>
            </x14:dxf>
          </x14:cfRule>
          <xm:sqref>T27</xm:sqref>
        </x14:conditionalFormatting>
        <x14:conditionalFormatting xmlns:xm="http://schemas.microsoft.com/office/excel/2006/main">
          <x14:cfRule type="cellIs" priority="102" operator="lessThanOrEqual" id="{1DD2035B-2B37-4FAD-893C-0EF09A43FBEB}">
            <xm:f>'Source Data Tables'!$I$26</xm:f>
            <x14:dxf>
              <font>
                <color auto="1"/>
              </font>
              <fill>
                <patternFill patternType="none">
                  <bgColor auto="1"/>
                </patternFill>
              </fill>
            </x14:dxf>
          </x14:cfRule>
          <x14:cfRule type="cellIs" priority="103" operator="greaterThanOrEqual" id="{505A5C8A-ABAB-49A8-BCAF-76701060A43C}">
            <xm:f>'Source Data Tables'!$I$25</xm:f>
            <x14:dxf>
              <font>
                <b/>
                <i val="0"/>
                <color theme="0"/>
              </font>
              <fill>
                <patternFill>
                  <bgColor rgb="FFFF0000"/>
                </patternFill>
              </fill>
            </x14:dxf>
          </x14:cfRule>
          <x14:cfRule type="cellIs" priority="107" operator="greaterThanOrEqual" id="{4424ACAC-C7A4-4167-B31D-F2080685D0CF}">
            <xm:f>'Source Data Tables'!$I$23</xm:f>
            <x14:dxf>
              <font>
                <b/>
                <i val="0"/>
              </font>
              <fill>
                <patternFill>
                  <bgColor rgb="FFFFFF00"/>
                </patternFill>
              </fill>
            </x14:dxf>
          </x14:cfRule>
          <x14:cfRule type="cellIs" priority="110" operator="lessThanOrEqual" id="{12DD68B3-E78F-4A74-9A47-CA1605E1BD10}">
            <xm:f>'Source Data Tables'!$I$22</xm:f>
            <x14:dxf>
              <font>
                <b/>
                <i val="0"/>
                <color theme="0"/>
              </font>
              <fill>
                <patternFill>
                  <bgColor rgb="FF00B050"/>
                </patternFill>
              </fill>
            </x14:dxf>
          </x14:cfRule>
          <xm:sqref>S27</xm:sqref>
        </x14:conditionalFormatting>
        <x14:conditionalFormatting xmlns:xm="http://schemas.microsoft.com/office/excel/2006/main">
          <x14:cfRule type="cellIs" priority="92" operator="lessThanOrEqual" id="{A30E2B7E-4906-44EE-8D7A-2DE8CA253CCD}">
            <xm:f>'Source Data Tables'!$I$26</xm:f>
            <x14:dxf>
              <font>
                <color auto="1"/>
              </font>
              <fill>
                <patternFill patternType="none">
                  <bgColor auto="1"/>
                </patternFill>
              </fill>
            </x14:dxf>
          </x14:cfRule>
          <x14:cfRule type="cellIs" priority="93" operator="greaterThanOrEqual" id="{17BEF664-A876-45DB-A50A-04F98C3339FD}">
            <xm:f>'Source Data Tables'!$I$25</xm:f>
            <x14:dxf>
              <font>
                <b/>
                <i val="0"/>
                <color theme="0"/>
              </font>
              <fill>
                <patternFill>
                  <bgColor rgb="FFFF0000"/>
                </patternFill>
              </fill>
            </x14:dxf>
          </x14:cfRule>
          <x14:cfRule type="cellIs" priority="97" operator="greaterThanOrEqual" id="{CFC007D5-3716-4094-A642-CE77D9CF3819}">
            <xm:f>'Source Data Tables'!$I$23</xm:f>
            <x14:dxf>
              <font>
                <b/>
                <i val="0"/>
              </font>
              <fill>
                <patternFill>
                  <bgColor rgb="FFFFFF00"/>
                </patternFill>
              </fill>
            </x14:dxf>
          </x14:cfRule>
          <x14:cfRule type="cellIs" priority="100" operator="lessThanOrEqual" id="{51133804-139B-4563-ABB2-80D42252DC89}">
            <xm:f>'Source Data Tables'!$I$22</xm:f>
            <x14:dxf>
              <font>
                <b/>
                <i val="0"/>
                <color theme="0"/>
              </font>
              <fill>
                <patternFill>
                  <bgColor rgb="FF00B050"/>
                </patternFill>
              </fill>
            </x14:dxf>
          </x14:cfRule>
          <xm:sqref>T28</xm:sqref>
        </x14:conditionalFormatting>
        <x14:conditionalFormatting xmlns:xm="http://schemas.microsoft.com/office/excel/2006/main">
          <x14:cfRule type="cellIs" priority="82" operator="lessThanOrEqual" id="{8AB8B23D-0C72-4A1A-9894-DD171BD7D7C0}">
            <xm:f>'Source Data Tables'!$I$26</xm:f>
            <x14:dxf>
              <font>
                <color auto="1"/>
              </font>
              <fill>
                <patternFill patternType="none">
                  <bgColor auto="1"/>
                </patternFill>
              </fill>
            </x14:dxf>
          </x14:cfRule>
          <x14:cfRule type="cellIs" priority="83" operator="greaterThanOrEqual" id="{6425D755-A076-4E42-900C-AF241E07B1A2}">
            <xm:f>'Source Data Tables'!$I$25</xm:f>
            <x14:dxf>
              <font>
                <b/>
                <i val="0"/>
                <color theme="0"/>
              </font>
              <fill>
                <patternFill>
                  <bgColor rgb="FFFF0000"/>
                </patternFill>
              </fill>
            </x14:dxf>
          </x14:cfRule>
          <x14:cfRule type="cellIs" priority="87" operator="greaterThanOrEqual" id="{8D57870E-3038-4FEA-8FAF-859B4EFACF46}">
            <xm:f>'Source Data Tables'!$I$23</xm:f>
            <x14:dxf>
              <font>
                <b/>
                <i val="0"/>
              </font>
              <fill>
                <patternFill>
                  <bgColor rgb="FFFFFF00"/>
                </patternFill>
              </fill>
            </x14:dxf>
          </x14:cfRule>
          <x14:cfRule type="cellIs" priority="90" operator="lessThanOrEqual" id="{6B158C3A-728F-4B07-835F-42D07DEC0499}">
            <xm:f>'Source Data Tables'!$I$22</xm:f>
            <x14:dxf>
              <font>
                <b/>
                <i val="0"/>
                <color theme="0"/>
              </font>
              <fill>
                <patternFill>
                  <bgColor rgb="FF00B050"/>
                </patternFill>
              </fill>
            </x14:dxf>
          </x14:cfRule>
          <xm:sqref>S28</xm:sqref>
        </x14:conditionalFormatting>
        <x14:conditionalFormatting xmlns:xm="http://schemas.microsoft.com/office/excel/2006/main">
          <x14:cfRule type="cellIs" priority="72" operator="lessThanOrEqual" id="{1CCF69F0-5625-484E-A1B5-80BA52CD0319}">
            <xm:f>'Source Data Tables'!$I$26</xm:f>
            <x14:dxf>
              <font>
                <color auto="1"/>
              </font>
              <fill>
                <patternFill patternType="none">
                  <bgColor auto="1"/>
                </patternFill>
              </fill>
            </x14:dxf>
          </x14:cfRule>
          <x14:cfRule type="cellIs" priority="73" operator="greaterThanOrEqual" id="{BCBA3259-7461-4D21-8D58-89514DDB6DA4}">
            <xm:f>'Source Data Tables'!$I$25</xm:f>
            <x14:dxf>
              <font>
                <b/>
                <i val="0"/>
                <color theme="0"/>
              </font>
              <fill>
                <patternFill>
                  <bgColor rgb="FFFF0000"/>
                </patternFill>
              </fill>
            </x14:dxf>
          </x14:cfRule>
          <x14:cfRule type="cellIs" priority="77" operator="greaterThanOrEqual" id="{FE2967A4-17B8-4214-A57A-C406937923BA}">
            <xm:f>'Source Data Tables'!$I$23</xm:f>
            <x14:dxf>
              <font>
                <b/>
                <i val="0"/>
              </font>
              <fill>
                <patternFill>
                  <bgColor rgb="FFFFFF00"/>
                </patternFill>
              </fill>
            </x14:dxf>
          </x14:cfRule>
          <x14:cfRule type="cellIs" priority="80" operator="lessThanOrEqual" id="{01D69E3D-C6C0-4481-A8B8-1CC0AC6D5A40}">
            <xm:f>'Source Data Tables'!$I$22</xm:f>
            <x14:dxf>
              <font>
                <b/>
                <i val="0"/>
                <color theme="0"/>
              </font>
              <fill>
                <patternFill>
                  <bgColor rgb="FF00B050"/>
                </patternFill>
              </fill>
            </x14:dxf>
          </x14:cfRule>
          <xm:sqref>T29</xm:sqref>
        </x14:conditionalFormatting>
        <x14:conditionalFormatting xmlns:xm="http://schemas.microsoft.com/office/excel/2006/main">
          <x14:cfRule type="cellIs" priority="62" operator="lessThanOrEqual" id="{F373BC64-C826-4EC2-AE3A-83FBF47AE65E}">
            <xm:f>'Source Data Tables'!$I$26</xm:f>
            <x14:dxf>
              <font>
                <color auto="1"/>
              </font>
              <fill>
                <patternFill patternType="none">
                  <bgColor auto="1"/>
                </patternFill>
              </fill>
            </x14:dxf>
          </x14:cfRule>
          <x14:cfRule type="cellIs" priority="63" operator="greaterThanOrEqual" id="{236B13C0-7FD9-4D98-92CF-5EEDBDC7CBE8}">
            <xm:f>'Source Data Tables'!$I$25</xm:f>
            <x14:dxf>
              <font>
                <b/>
                <i val="0"/>
                <color theme="0"/>
              </font>
              <fill>
                <patternFill>
                  <bgColor rgb="FFFF0000"/>
                </patternFill>
              </fill>
            </x14:dxf>
          </x14:cfRule>
          <x14:cfRule type="cellIs" priority="67" operator="greaterThanOrEqual" id="{D10F7BE6-360C-444B-B3ED-75F407A4E094}">
            <xm:f>'Source Data Tables'!$I$23</xm:f>
            <x14:dxf>
              <font>
                <b/>
                <i val="0"/>
              </font>
              <fill>
                <patternFill>
                  <bgColor rgb="FFFFFF00"/>
                </patternFill>
              </fill>
            </x14:dxf>
          </x14:cfRule>
          <x14:cfRule type="cellIs" priority="70" operator="lessThanOrEqual" id="{9F26ADF1-5AA0-4D34-B016-43966F281F3A}">
            <xm:f>'Source Data Tables'!$I$22</xm:f>
            <x14:dxf>
              <font>
                <b/>
                <i val="0"/>
                <color theme="0"/>
              </font>
              <fill>
                <patternFill>
                  <bgColor rgb="FF00B050"/>
                </patternFill>
              </fill>
            </x14:dxf>
          </x14:cfRule>
          <xm:sqref>S29</xm:sqref>
        </x14:conditionalFormatting>
        <x14:conditionalFormatting xmlns:xm="http://schemas.microsoft.com/office/excel/2006/main">
          <x14:cfRule type="cellIs" priority="52" operator="lessThanOrEqual" id="{E5C6761E-FFB8-4C73-8E96-A9B1A15F09F3}">
            <xm:f>'Source Data Tables'!$I$26</xm:f>
            <x14:dxf>
              <font>
                <color auto="1"/>
              </font>
              <fill>
                <patternFill patternType="none">
                  <bgColor auto="1"/>
                </patternFill>
              </fill>
            </x14:dxf>
          </x14:cfRule>
          <x14:cfRule type="cellIs" priority="53" operator="greaterThanOrEqual" id="{D77C67A4-3D2A-48A8-903B-E963B179662C}">
            <xm:f>'Source Data Tables'!$I$25</xm:f>
            <x14:dxf>
              <font>
                <b/>
                <i val="0"/>
                <color theme="0"/>
              </font>
              <fill>
                <patternFill>
                  <bgColor rgb="FFFF0000"/>
                </patternFill>
              </fill>
            </x14:dxf>
          </x14:cfRule>
          <x14:cfRule type="cellIs" priority="57" operator="greaterThanOrEqual" id="{C1970BC6-F864-4E35-A6B0-1D8A9F508D73}">
            <xm:f>'Source Data Tables'!$I$23</xm:f>
            <x14:dxf>
              <font>
                <b/>
                <i val="0"/>
              </font>
              <fill>
                <patternFill>
                  <bgColor rgb="FFFFFF00"/>
                </patternFill>
              </fill>
            </x14:dxf>
          </x14:cfRule>
          <x14:cfRule type="cellIs" priority="60" operator="lessThanOrEqual" id="{9BC20FA9-01F0-4FBE-8A6A-F2FB2874297E}">
            <xm:f>'Source Data Tables'!$I$22</xm:f>
            <x14:dxf>
              <font>
                <b/>
                <i val="0"/>
                <color theme="0"/>
              </font>
              <fill>
                <patternFill>
                  <bgColor rgb="FF00B050"/>
                </patternFill>
              </fill>
            </x14:dxf>
          </x14:cfRule>
          <xm:sqref>T30</xm:sqref>
        </x14:conditionalFormatting>
        <x14:conditionalFormatting xmlns:xm="http://schemas.microsoft.com/office/excel/2006/main">
          <x14:cfRule type="cellIs" priority="42" operator="lessThanOrEqual" id="{39868530-5A0F-423E-9632-C2052D7D5FA0}">
            <xm:f>'Source Data Tables'!$I$26</xm:f>
            <x14:dxf>
              <font>
                <color auto="1"/>
              </font>
              <fill>
                <patternFill patternType="none">
                  <bgColor auto="1"/>
                </patternFill>
              </fill>
            </x14:dxf>
          </x14:cfRule>
          <x14:cfRule type="cellIs" priority="43" operator="greaterThanOrEqual" id="{14DFC673-D939-48D4-8E28-4C27B9B893A1}">
            <xm:f>'Source Data Tables'!$I$25</xm:f>
            <x14:dxf>
              <font>
                <b/>
                <i val="0"/>
                <color theme="0"/>
              </font>
              <fill>
                <patternFill>
                  <bgColor rgb="FFFF0000"/>
                </patternFill>
              </fill>
            </x14:dxf>
          </x14:cfRule>
          <x14:cfRule type="cellIs" priority="47" operator="greaterThanOrEqual" id="{82C2F872-ABC4-4873-BDA9-ECC72F1D3186}">
            <xm:f>'Source Data Tables'!$I$23</xm:f>
            <x14:dxf>
              <font>
                <b/>
                <i val="0"/>
              </font>
              <fill>
                <patternFill>
                  <bgColor rgb="FFFFFF00"/>
                </patternFill>
              </fill>
            </x14:dxf>
          </x14:cfRule>
          <x14:cfRule type="cellIs" priority="50" operator="lessThanOrEqual" id="{505A3E0B-81B8-459A-8A46-4C17914D709F}">
            <xm:f>'Source Data Tables'!$I$22</xm:f>
            <x14:dxf>
              <font>
                <b/>
                <i val="0"/>
                <color theme="0"/>
              </font>
              <fill>
                <patternFill>
                  <bgColor rgb="FF00B050"/>
                </patternFill>
              </fill>
            </x14:dxf>
          </x14:cfRule>
          <xm:sqref>S30</xm:sqref>
        </x14:conditionalFormatting>
        <x14:conditionalFormatting xmlns:xm="http://schemas.microsoft.com/office/excel/2006/main">
          <x14:cfRule type="cellIs" priority="32" operator="lessThanOrEqual" id="{552BD415-E665-45AC-8161-00DA84BE0273}">
            <xm:f>'Source Data Tables'!$I$26</xm:f>
            <x14:dxf>
              <font>
                <color auto="1"/>
              </font>
              <fill>
                <patternFill patternType="none">
                  <bgColor auto="1"/>
                </patternFill>
              </fill>
            </x14:dxf>
          </x14:cfRule>
          <x14:cfRule type="cellIs" priority="33" operator="greaterThanOrEqual" id="{0B8C9C62-5C7A-46C2-BC82-79655A2C37BB}">
            <xm:f>'Source Data Tables'!$I$25</xm:f>
            <x14:dxf>
              <font>
                <b/>
                <i val="0"/>
                <color theme="0"/>
              </font>
              <fill>
                <patternFill>
                  <bgColor rgb="FFFF0000"/>
                </patternFill>
              </fill>
            </x14:dxf>
          </x14:cfRule>
          <x14:cfRule type="cellIs" priority="37" operator="greaterThanOrEqual" id="{5C36DB49-7B8B-4B15-9708-F0370AD5BF72}">
            <xm:f>'Source Data Tables'!$I$23</xm:f>
            <x14:dxf>
              <font>
                <b/>
                <i val="0"/>
              </font>
              <fill>
                <patternFill>
                  <bgColor rgb="FFFFFF00"/>
                </patternFill>
              </fill>
            </x14:dxf>
          </x14:cfRule>
          <x14:cfRule type="cellIs" priority="40" operator="lessThanOrEqual" id="{19B5D879-18F8-47EF-AE7B-B7F3693C1622}">
            <xm:f>'Source Data Tables'!$I$22</xm:f>
            <x14:dxf>
              <font>
                <b/>
                <i val="0"/>
                <color theme="0"/>
              </font>
              <fill>
                <patternFill>
                  <bgColor rgb="FF00B050"/>
                </patternFill>
              </fill>
            </x14:dxf>
          </x14:cfRule>
          <xm:sqref>T31</xm:sqref>
        </x14:conditionalFormatting>
        <x14:conditionalFormatting xmlns:xm="http://schemas.microsoft.com/office/excel/2006/main">
          <x14:cfRule type="cellIs" priority="22" operator="lessThanOrEqual" id="{4A3C0C93-4639-4E32-8B78-DD9F91670AFF}">
            <xm:f>'Source Data Tables'!$I$26</xm:f>
            <x14:dxf>
              <font>
                <color auto="1"/>
              </font>
              <fill>
                <patternFill patternType="none">
                  <bgColor auto="1"/>
                </patternFill>
              </fill>
            </x14:dxf>
          </x14:cfRule>
          <x14:cfRule type="cellIs" priority="23" operator="greaterThanOrEqual" id="{B785DB7F-3508-4C5E-B5EE-F492A34CF931}">
            <xm:f>'Source Data Tables'!$I$25</xm:f>
            <x14:dxf>
              <font>
                <b/>
                <i val="0"/>
                <color theme="0"/>
              </font>
              <fill>
                <patternFill>
                  <bgColor rgb="FFFF0000"/>
                </patternFill>
              </fill>
            </x14:dxf>
          </x14:cfRule>
          <x14:cfRule type="cellIs" priority="27" operator="greaterThanOrEqual" id="{7A6D9814-4CA9-45B2-9C59-0FFED398BC79}">
            <xm:f>'Source Data Tables'!$I$23</xm:f>
            <x14:dxf>
              <font>
                <b/>
                <i val="0"/>
              </font>
              <fill>
                <patternFill>
                  <bgColor rgb="FFFFFF00"/>
                </patternFill>
              </fill>
            </x14:dxf>
          </x14:cfRule>
          <x14:cfRule type="cellIs" priority="30" operator="lessThanOrEqual" id="{262D6801-3D7B-4B72-93E8-41FD169A1396}">
            <xm:f>'Source Data Tables'!$I$22</xm:f>
            <x14:dxf>
              <font>
                <b/>
                <i val="0"/>
                <color theme="0"/>
              </font>
              <fill>
                <patternFill>
                  <bgColor rgb="FF00B050"/>
                </patternFill>
              </fill>
            </x14:dxf>
          </x14:cfRule>
          <xm:sqref>S31</xm:sqref>
        </x14:conditionalFormatting>
        <x14:conditionalFormatting xmlns:xm="http://schemas.microsoft.com/office/excel/2006/main">
          <x14:cfRule type="cellIs" priority="12" operator="lessThanOrEqual" id="{457B4E2B-BDDD-4CA8-A065-5BEBD2842FFF}">
            <xm:f>'Source Data Tables'!$I$26</xm:f>
            <x14:dxf>
              <font>
                <color auto="1"/>
              </font>
              <fill>
                <patternFill patternType="none">
                  <bgColor auto="1"/>
                </patternFill>
              </fill>
            </x14:dxf>
          </x14:cfRule>
          <x14:cfRule type="cellIs" priority="13" operator="greaterThanOrEqual" id="{B6130E61-8560-4E8C-8CE3-76E2AAE49701}">
            <xm:f>'Source Data Tables'!$I$25</xm:f>
            <x14:dxf>
              <font>
                <b/>
                <i val="0"/>
                <color theme="0"/>
              </font>
              <fill>
                <patternFill>
                  <bgColor rgb="FFFF0000"/>
                </patternFill>
              </fill>
            </x14:dxf>
          </x14:cfRule>
          <x14:cfRule type="cellIs" priority="17" operator="greaterThanOrEqual" id="{83440B5D-91CD-4775-9E01-735A6D7C535E}">
            <xm:f>'Source Data Tables'!$I$23</xm:f>
            <x14:dxf>
              <font>
                <b/>
                <i val="0"/>
              </font>
              <fill>
                <patternFill>
                  <bgColor rgb="FFFFFF00"/>
                </patternFill>
              </fill>
            </x14:dxf>
          </x14:cfRule>
          <x14:cfRule type="cellIs" priority="20" operator="lessThanOrEqual" id="{71FCF6B2-B427-4A57-95AC-BC232360B056}">
            <xm:f>'Source Data Tables'!$I$22</xm:f>
            <x14:dxf>
              <font>
                <b/>
                <i val="0"/>
                <color theme="0"/>
              </font>
              <fill>
                <patternFill>
                  <bgColor rgb="FF00B050"/>
                </patternFill>
              </fill>
            </x14:dxf>
          </x14:cfRule>
          <xm:sqref>S36:T36</xm:sqref>
        </x14:conditionalFormatting>
        <x14:conditionalFormatting xmlns:xm="http://schemas.microsoft.com/office/excel/2006/main">
          <x14:cfRule type="cellIs" priority="1" operator="equal" id="{D7F4D55B-DFC5-41DA-B43C-7F2E3BA1E667}">
            <xm:f>'Prob-Impact Matrix'!$G$28</xm:f>
            <x14:dxf>
              <font>
                <b/>
                <i val="0"/>
                <color auto="1"/>
              </font>
              <fill>
                <patternFill>
                  <bgColor rgb="FFFFFF00"/>
                </patternFill>
              </fill>
            </x14:dxf>
          </x14:cfRule>
          <x14:cfRule type="cellIs" priority="2" operator="equal" id="{7ABB5C3E-BF3D-455B-B07B-2C9B3FD6ADD4}">
            <xm:f>'Prob-Impact Matrix'!$F$26</xm:f>
            <x14:dxf>
              <font>
                <b/>
                <i val="0"/>
                <color auto="1"/>
              </font>
              <fill>
                <patternFill>
                  <bgColor rgb="FFFFFF00"/>
                </patternFill>
              </fill>
            </x14:dxf>
          </x14:cfRule>
          <x14:cfRule type="cellIs" priority="3" operator="equal" id="{A85567AD-8E9B-4338-AEDA-589A0D1A04FD}">
            <xm:f>'Prob-Impact Matrix'!$E$27</xm:f>
            <x14:dxf>
              <font>
                <b/>
                <i val="0"/>
                <color theme="0"/>
              </font>
              <fill>
                <patternFill>
                  <bgColor rgb="FF00B050"/>
                </patternFill>
              </fill>
            </x14:dxf>
          </x14:cfRule>
          <x14:cfRule type="cellIs" priority="4" operator="equal" id="{CCFD3A06-4E4C-40E7-BD94-C8227C559060}">
            <xm:f>'Prob-Impact Matrix'!$C$24</xm:f>
            <x14:dxf>
              <font>
                <b/>
                <i val="0"/>
                <color auto="1"/>
              </font>
              <fill>
                <patternFill>
                  <bgColor rgb="FFFFFF00"/>
                </patternFill>
              </fill>
            </x14:dxf>
          </x14:cfRule>
          <xm:sqref>T4:T64</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0000000}">
          <x14:formula1>
            <xm:f>'Source Data Tables'!$M$4:$M$6</xm:f>
          </x14:formula1>
          <xm:sqref>X4:X65</xm:sqref>
        </x14:dataValidation>
        <x14:dataValidation type="list" allowBlank="1" showInputMessage="1" showErrorMessage="1" xr:uid="{00000000-0002-0000-0200-000001000000}">
          <x14:formula1>
            <xm:f>'Source Data Tables'!$G$29:$G$31</xm:f>
          </x14:formula1>
          <xm:sqref>U4:U65</xm:sqref>
        </x14:dataValidation>
        <x14:dataValidation type="list" allowBlank="1" showInputMessage="1" showErrorMessage="1" xr:uid="{00000000-0002-0000-0200-000002000000}">
          <x14:formula1>
            <xm:f>'Source Data Tables'!$M$10:$M$17</xm:f>
          </x14:formula1>
          <xm:sqref>Z4:Z64</xm:sqref>
        </x14:dataValidation>
        <x14:dataValidation type="list" allowBlank="1" showInputMessage="1" showErrorMessage="1" xr:uid="{00000000-0002-0000-0200-000003000000}">
          <x14:formula1>
            <xm:f>'Source Data Tables'!$C$15:$C$17</xm:f>
          </x14:formula1>
          <xm:sqref>H4:H65</xm:sqref>
        </x14:dataValidation>
        <x14:dataValidation type="list" allowBlank="1" showInputMessage="1" showErrorMessage="1" xr:uid="{00000000-0002-0000-0200-000004000000}">
          <x14:formula1>
            <xm:f>'Source Data Tables'!$G$13:$G$17</xm:f>
          </x14:formula1>
          <xm:sqref>O4:O64</xm:sqref>
        </x14:dataValidation>
        <x14:dataValidation type="list" allowBlank="1" showInputMessage="1" showErrorMessage="1" xr:uid="{00000000-0002-0000-0200-000005000000}">
          <x14:formula1>
            <xm:f>'Source Data Tables'!$G$5:$G$9</xm:f>
          </x14:formula1>
          <xm:sqref>Q4:Q64</xm:sqref>
        </x14:dataValidation>
        <x14:dataValidation type="list" allowBlank="1" showInputMessage="1" showErrorMessage="1" xr:uid="{00000000-0002-0000-0200-000006000000}">
          <x14:formula1>
            <xm:f>'Source Data Tables'!$K$4:$K$11</xm:f>
          </x14:formula1>
          <xm:sqref>V4:V65</xm:sqref>
        </x14:dataValidation>
        <x14:dataValidation type="list" allowBlank="1" showInputMessage="1" showErrorMessage="1" xr:uid="{00000000-0002-0000-0200-000007000000}">
          <x14:formula1>
            <xm:f>'Source Data Tables'!$E$4:$E$13</xm:f>
          </x14:formula1>
          <xm:sqref>I4:I65</xm:sqref>
        </x14:dataValidation>
        <x14:dataValidation type="list" allowBlank="1" showInputMessage="1" showErrorMessage="1" xr:uid="{00000000-0002-0000-0200-000008000000}">
          <x14:formula1>
            <xm:f>'Source Data Tables'!$C$4:$C$12</xm:f>
          </x14:formula1>
          <xm:sqref>F4:F65</xm:sqref>
        </x14:dataValidation>
        <x14:dataValidation type="list" allowBlank="1" showInputMessage="1" showErrorMessage="1" xr:uid="{00000000-0002-0000-0200-000009000000}">
          <x14:formula1>
            <xm:f>'Source Data Tables'!$H$5:$H$9</xm:f>
          </x14:formula1>
          <xm:sqref>Q65:R65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G29"/>
  <sheetViews>
    <sheetView showGridLines="0" zoomScale="115" zoomScaleNormal="115" workbookViewId="0">
      <selection activeCell="D36" sqref="D36"/>
    </sheetView>
  </sheetViews>
  <sheetFormatPr defaultRowHeight="15" x14ac:dyDescent="0.25"/>
  <cols>
    <col min="1" max="1" width="6.5703125" customWidth="1"/>
    <col min="2" max="2" width="13.7109375" bestFit="1" customWidth="1"/>
    <col min="3" max="3" width="10.7109375" customWidth="1"/>
    <col min="4" max="7" width="34.7109375" customWidth="1"/>
  </cols>
  <sheetData>
    <row r="1" spans="1:7" s="169" customFormat="1" ht="23.25" x14ac:dyDescent="0.35">
      <c r="A1" s="2" t="s">
        <v>140</v>
      </c>
      <c r="B1" s="168"/>
    </row>
    <row r="3" spans="1:7" ht="18.75" x14ac:dyDescent="0.3">
      <c r="A3" s="1" t="s">
        <v>141</v>
      </c>
    </row>
    <row r="4" spans="1:7" s="175" customFormat="1" ht="30" x14ac:dyDescent="0.25">
      <c r="A4" s="170" t="s">
        <v>12</v>
      </c>
      <c r="B4" s="171"/>
      <c r="C4" s="172" t="s">
        <v>142</v>
      </c>
      <c r="D4" s="173" t="s">
        <v>143</v>
      </c>
      <c r="E4" s="174" t="s">
        <v>144</v>
      </c>
      <c r="F4" s="174" t="s">
        <v>145</v>
      </c>
      <c r="G4" s="174" t="s">
        <v>146</v>
      </c>
    </row>
    <row r="5" spans="1:7" ht="79.900000000000006" customHeight="1" x14ac:dyDescent="0.25">
      <c r="A5" s="170" t="s">
        <v>147</v>
      </c>
      <c r="B5" s="171"/>
      <c r="C5" s="176">
        <v>0.05</v>
      </c>
      <c r="D5" s="156" t="s">
        <v>148</v>
      </c>
      <c r="E5" s="156" t="s">
        <v>149</v>
      </c>
      <c r="F5" s="156" t="s">
        <v>150</v>
      </c>
      <c r="G5" s="156" t="s">
        <v>151</v>
      </c>
    </row>
    <row r="6" spans="1:7" ht="94.9" customHeight="1" x14ac:dyDescent="0.25">
      <c r="A6" s="177" t="s">
        <v>136</v>
      </c>
      <c r="B6" s="178"/>
      <c r="C6" s="176">
        <v>0.1</v>
      </c>
      <c r="D6" s="156" t="s">
        <v>152</v>
      </c>
      <c r="E6" s="156" t="s">
        <v>153</v>
      </c>
      <c r="F6" s="156" t="s">
        <v>154</v>
      </c>
      <c r="G6" s="156" t="s">
        <v>155</v>
      </c>
    </row>
    <row r="7" spans="1:7" ht="93.6" customHeight="1" x14ac:dyDescent="0.25">
      <c r="A7" s="170" t="s">
        <v>156</v>
      </c>
      <c r="B7" s="171"/>
      <c r="C7" s="176">
        <v>0.2</v>
      </c>
      <c r="D7" s="156" t="s">
        <v>157</v>
      </c>
      <c r="E7" s="156" t="s">
        <v>158</v>
      </c>
      <c r="F7" s="156" t="s">
        <v>159</v>
      </c>
      <c r="G7" s="156" t="s">
        <v>160</v>
      </c>
    </row>
    <row r="8" spans="1:7" ht="90" customHeight="1" x14ac:dyDescent="0.25">
      <c r="A8" s="170" t="s">
        <v>161</v>
      </c>
      <c r="B8" s="171"/>
      <c r="C8" s="176">
        <v>0.4</v>
      </c>
      <c r="D8" s="156" t="s">
        <v>162</v>
      </c>
      <c r="E8" s="156" t="s">
        <v>163</v>
      </c>
      <c r="F8" s="156" t="s">
        <v>164</v>
      </c>
      <c r="G8" s="156" t="s">
        <v>165</v>
      </c>
    </row>
    <row r="9" spans="1:7" ht="69" customHeight="1" x14ac:dyDescent="0.25">
      <c r="A9" s="177" t="s">
        <v>125</v>
      </c>
      <c r="B9" s="178"/>
      <c r="C9" s="176">
        <v>0.8</v>
      </c>
      <c r="D9" s="156" t="s">
        <v>166</v>
      </c>
      <c r="E9" s="156" t="s">
        <v>167</v>
      </c>
      <c r="F9" s="156" t="s">
        <v>168</v>
      </c>
      <c r="G9" s="156" t="s">
        <v>169</v>
      </c>
    </row>
    <row r="11" spans="1:7" hidden="1" x14ac:dyDescent="0.25"/>
    <row r="12" spans="1:7" hidden="1" x14ac:dyDescent="0.25"/>
    <row r="13" spans="1:7" ht="18.75" x14ac:dyDescent="0.3">
      <c r="A13" s="179" t="s">
        <v>170</v>
      </c>
      <c r="B13" s="40"/>
      <c r="C13" s="180"/>
    </row>
    <row r="14" spans="1:7" x14ac:dyDescent="0.25">
      <c r="A14" s="181" t="s">
        <v>12</v>
      </c>
      <c r="B14" s="181"/>
      <c r="C14" s="181"/>
      <c r="D14" s="182"/>
      <c r="E14" s="182"/>
      <c r="F14" s="182"/>
      <c r="G14" s="182"/>
    </row>
    <row r="15" spans="1:7" x14ac:dyDescent="0.25">
      <c r="A15" s="181"/>
      <c r="B15" s="181" t="s">
        <v>124</v>
      </c>
      <c r="C15" s="183">
        <v>0.1</v>
      </c>
      <c r="D15" s="184" t="s">
        <v>171</v>
      </c>
      <c r="E15" s="184" t="s">
        <v>171</v>
      </c>
      <c r="F15" s="184" t="s">
        <v>171</v>
      </c>
      <c r="G15" s="184" t="s">
        <v>171</v>
      </c>
    </row>
    <row r="16" spans="1:7" x14ac:dyDescent="0.25">
      <c r="A16" s="181"/>
      <c r="B16" s="181" t="s">
        <v>172</v>
      </c>
      <c r="C16" s="183">
        <v>0.3</v>
      </c>
      <c r="D16" s="184" t="s">
        <v>173</v>
      </c>
      <c r="E16" s="184" t="s">
        <v>173</v>
      </c>
      <c r="F16" s="184" t="s">
        <v>173</v>
      </c>
      <c r="G16" s="184" t="s">
        <v>173</v>
      </c>
    </row>
    <row r="17" spans="1:7" x14ac:dyDescent="0.25">
      <c r="A17" s="181"/>
      <c r="B17" s="181" t="s">
        <v>174</v>
      </c>
      <c r="C17" s="183">
        <v>0.5</v>
      </c>
      <c r="D17" s="184" t="s">
        <v>175</v>
      </c>
      <c r="E17" s="184" t="s">
        <v>175</v>
      </c>
      <c r="F17" s="184" t="s">
        <v>175</v>
      </c>
      <c r="G17" s="184" t="s">
        <v>175</v>
      </c>
    </row>
    <row r="18" spans="1:7" x14ac:dyDescent="0.25">
      <c r="A18" s="181"/>
      <c r="B18" s="181" t="s">
        <v>176</v>
      </c>
      <c r="C18" s="183">
        <v>0.7</v>
      </c>
      <c r="D18" s="184" t="s">
        <v>177</v>
      </c>
      <c r="E18" s="184" t="s">
        <v>177</v>
      </c>
      <c r="F18" s="184" t="s">
        <v>177</v>
      </c>
      <c r="G18" s="184" t="s">
        <v>177</v>
      </c>
    </row>
    <row r="19" spans="1:7" x14ac:dyDescent="0.25">
      <c r="A19" s="181"/>
      <c r="B19" s="181" t="s">
        <v>135</v>
      </c>
      <c r="C19" s="183">
        <v>0.9</v>
      </c>
      <c r="D19" s="184" t="s">
        <v>178</v>
      </c>
      <c r="E19" s="184" t="s">
        <v>178</v>
      </c>
      <c r="F19" s="184" t="s">
        <v>178</v>
      </c>
      <c r="G19" s="184" t="s">
        <v>178</v>
      </c>
    </row>
    <row r="22" spans="1:7" x14ac:dyDescent="0.25">
      <c r="A22" s="185" t="s">
        <v>179</v>
      </c>
      <c r="C22" s="186" t="s">
        <v>180</v>
      </c>
    </row>
    <row r="23" spans="1:7" x14ac:dyDescent="0.25">
      <c r="B23" s="187" t="s">
        <v>9</v>
      </c>
    </row>
    <row r="24" spans="1:7" x14ac:dyDescent="0.25">
      <c r="B24" s="188">
        <f>C19</f>
        <v>0.9</v>
      </c>
      <c r="C24" s="189">
        <f>B24*C29</f>
        <v>4.5000000000000005E-2</v>
      </c>
      <c r="D24" s="190">
        <f>B24*D29</f>
        <v>9.0000000000000011E-2</v>
      </c>
      <c r="E24" s="190">
        <f>B24*E29</f>
        <v>0.18000000000000002</v>
      </c>
      <c r="F24" s="190">
        <f>B24*F29</f>
        <v>0.36000000000000004</v>
      </c>
      <c r="G24" s="190">
        <f>B24*G29</f>
        <v>0.72000000000000008</v>
      </c>
    </row>
    <row r="25" spans="1:7" x14ac:dyDescent="0.25">
      <c r="B25" s="188">
        <f>C18</f>
        <v>0.7</v>
      </c>
      <c r="C25" s="189">
        <f>B25*C29</f>
        <v>3.4999999999999996E-2</v>
      </c>
      <c r="D25" s="191">
        <f>B25*D29</f>
        <v>6.9999999999999993E-2</v>
      </c>
      <c r="E25" s="189">
        <f>B25*E29</f>
        <v>0.13999999999999999</v>
      </c>
      <c r="F25" s="190">
        <f>B25*F29</f>
        <v>0.27999999999999997</v>
      </c>
      <c r="G25" s="190">
        <f>B25*G29</f>
        <v>0.55999999999999994</v>
      </c>
    </row>
    <row r="26" spans="1:7" x14ac:dyDescent="0.25">
      <c r="B26" s="188">
        <f>C17</f>
        <v>0.5</v>
      </c>
      <c r="C26" s="192">
        <f>B26*C29</f>
        <v>2.5000000000000001E-2</v>
      </c>
      <c r="D26" s="193">
        <f>B26*D29</f>
        <v>0.05</v>
      </c>
      <c r="E26" s="191">
        <f>B26*E29</f>
        <v>0.1</v>
      </c>
      <c r="F26" s="191">
        <f>B26*F29</f>
        <v>0.2</v>
      </c>
      <c r="G26" s="190">
        <f>B26*G29</f>
        <v>0.4</v>
      </c>
    </row>
    <row r="27" spans="1:7" x14ac:dyDescent="0.25">
      <c r="B27" s="188">
        <f>C16</f>
        <v>0.3</v>
      </c>
      <c r="C27" s="192">
        <f>B27*C29</f>
        <v>1.4999999999999999E-2</v>
      </c>
      <c r="D27" s="193">
        <f>B27*D29</f>
        <v>0.03</v>
      </c>
      <c r="E27" s="193">
        <f>B27*E29</f>
        <v>0.06</v>
      </c>
      <c r="F27" s="191">
        <f>B27*F29</f>
        <v>0.12</v>
      </c>
      <c r="G27" s="190">
        <f>B27*G29</f>
        <v>0.24</v>
      </c>
    </row>
    <row r="28" spans="1:7" x14ac:dyDescent="0.25">
      <c r="B28" s="188">
        <f>C15</f>
        <v>0.1</v>
      </c>
      <c r="C28" s="192">
        <f>B28*C29</f>
        <v>5.000000000000001E-3</v>
      </c>
      <c r="D28" s="193">
        <f>B28*D29</f>
        <v>1.0000000000000002E-2</v>
      </c>
      <c r="E28" s="193">
        <f>B28*E29</f>
        <v>2.0000000000000004E-2</v>
      </c>
      <c r="F28" s="191">
        <f>B28*F29</f>
        <v>4.0000000000000008E-2</v>
      </c>
      <c r="G28" s="191">
        <f>B28*G29</f>
        <v>8.0000000000000016E-2</v>
      </c>
    </row>
    <row r="29" spans="1:7" x14ac:dyDescent="0.25">
      <c r="B29" s="103" t="s">
        <v>27</v>
      </c>
      <c r="C29" s="183">
        <f>C5</f>
        <v>0.05</v>
      </c>
      <c r="D29" s="183">
        <f>C6</f>
        <v>0.1</v>
      </c>
      <c r="E29" s="183">
        <f>C7</f>
        <v>0.2</v>
      </c>
      <c r="F29" s="183">
        <f>C8</f>
        <v>0.4</v>
      </c>
      <c r="G29" s="183">
        <f>C9</f>
        <v>0.8</v>
      </c>
    </row>
  </sheetData>
  <pageMargins left="0.25" right="0.25" top="0.75" bottom="0.75" header="0.3" footer="0.3"/>
  <pageSetup scale="6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N36"/>
  <sheetViews>
    <sheetView showGridLines="0" topLeftCell="A2" workbookViewId="0">
      <selection activeCell="D36" sqref="D36"/>
    </sheetView>
  </sheetViews>
  <sheetFormatPr defaultRowHeight="15" x14ac:dyDescent="0.25"/>
  <cols>
    <col min="1" max="1" width="24.7109375" bestFit="1" customWidth="1"/>
    <col min="2" max="2" width="1.7109375" customWidth="1"/>
    <col min="3" max="3" width="16.85546875" bestFit="1" customWidth="1"/>
    <col min="4" max="4" width="1.7109375" customWidth="1"/>
    <col min="5" max="5" width="27.85546875" bestFit="1" customWidth="1"/>
    <col min="6" max="6" width="1.7109375" customWidth="1"/>
    <col min="7" max="7" width="15.85546875" customWidth="1"/>
    <col min="8" max="8" width="6.7109375" customWidth="1"/>
    <col min="9" max="9" width="8.85546875" customWidth="1"/>
    <col min="10" max="10" width="1.7109375" customWidth="1"/>
    <col min="11" max="11" width="19" bestFit="1" customWidth="1"/>
    <col min="12" max="12" width="1.7109375" customWidth="1"/>
    <col min="13" max="13" width="22.28515625" customWidth="1"/>
    <col min="14" max="14" width="6.85546875" customWidth="1"/>
    <col min="15" max="15" width="12" bestFit="1" customWidth="1"/>
    <col min="16" max="16" width="4.5703125" bestFit="1" customWidth="1"/>
  </cols>
  <sheetData>
    <row r="1" spans="1:13" ht="21" hidden="1" customHeight="1" x14ac:dyDescent="0.35">
      <c r="A1" s="2" t="s">
        <v>181</v>
      </c>
    </row>
    <row r="2" spans="1:13" x14ac:dyDescent="0.25">
      <c r="C2" s="194"/>
      <c r="D2" s="194"/>
      <c r="E2" s="194"/>
      <c r="F2" s="194"/>
      <c r="G2" s="194"/>
    </row>
    <row r="3" spans="1:13" x14ac:dyDescent="0.25">
      <c r="A3" s="195" t="s">
        <v>182</v>
      </c>
      <c r="C3" s="196" t="s">
        <v>183</v>
      </c>
      <c r="D3" s="197"/>
      <c r="E3" s="196" t="s">
        <v>50</v>
      </c>
      <c r="F3" s="194"/>
      <c r="G3" s="4" t="s">
        <v>184</v>
      </c>
      <c r="I3" s="6"/>
      <c r="K3" s="198" t="s">
        <v>76</v>
      </c>
      <c r="M3" s="199" t="s">
        <v>81</v>
      </c>
    </row>
    <row r="4" spans="1:13" x14ac:dyDescent="0.25">
      <c r="A4" s="200" t="s">
        <v>185</v>
      </c>
      <c r="C4" s="201" t="s">
        <v>186</v>
      </c>
      <c r="D4" s="197"/>
      <c r="E4" s="202" t="s">
        <v>187</v>
      </c>
      <c r="F4" s="194"/>
      <c r="G4" s="203" t="s">
        <v>67</v>
      </c>
      <c r="H4" s="204"/>
      <c r="I4" s="205"/>
      <c r="K4" s="206" t="s">
        <v>127</v>
      </c>
      <c r="M4" s="200" t="s">
        <v>137</v>
      </c>
    </row>
    <row r="5" spans="1:13" x14ac:dyDescent="0.25">
      <c r="A5" s="200" t="s">
        <v>188</v>
      </c>
      <c r="C5" s="202" t="s">
        <v>189</v>
      </c>
      <c r="D5" s="197"/>
      <c r="E5" s="202" t="s">
        <v>190</v>
      </c>
      <c r="F5" s="194"/>
      <c r="G5" s="207" t="s">
        <v>147</v>
      </c>
      <c r="H5" s="208">
        <f>'Prob-Impact Matrix'!C5</f>
        <v>0.05</v>
      </c>
      <c r="I5" s="205"/>
      <c r="K5" s="206" t="s">
        <v>191</v>
      </c>
      <c r="M5" s="200" t="s">
        <v>126</v>
      </c>
    </row>
    <row r="6" spans="1:13" x14ac:dyDescent="0.25">
      <c r="A6" s="200" t="s">
        <v>192</v>
      </c>
      <c r="C6" s="201" t="s">
        <v>193</v>
      </c>
      <c r="D6" s="197"/>
      <c r="E6" s="202" t="s">
        <v>194</v>
      </c>
      <c r="F6" s="194"/>
      <c r="G6" s="209" t="s">
        <v>136</v>
      </c>
      <c r="H6" s="208">
        <f>'Prob-Impact Matrix'!C6</f>
        <v>0.1</v>
      </c>
      <c r="I6" s="205"/>
      <c r="K6" s="210" t="s">
        <v>195</v>
      </c>
      <c r="M6" s="211"/>
    </row>
    <row r="7" spans="1:13" x14ac:dyDescent="0.25">
      <c r="A7" s="200" t="s">
        <v>196</v>
      </c>
      <c r="C7" s="201" t="s">
        <v>116</v>
      </c>
      <c r="D7" s="197"/>
      <c r="E7" s="202" t="s">
        <v>134</v>
      </c>
      <c r="F7" s="194"/>
      <c r="G7" s="209" t="s">
        <v>156</v>
      </c>
      <c r="H7" s="208">
        <f>'Prob-Impact Matrix'!C7</f>
        <v>0.2</v>
      </c>
      <c r="I7" s="205"/>
      <c r="K7" s="206" t="s">
        <v>197</v>
      </c>
      <c r="M7" s="194"/>
    </row>
    <row r="8" spans="1:13" x14ac:dyDescent="0.25">
      <c r="A8" s="200" t="s">
        <v>198</v>
      </c>
      <c r="C8" s="201" t="s">
        <v>199</v>
      </c>
      <c r="D8" s="197"/>
      <c r="E8" s="202" t="s">
        <v>118</v>
      </c>
      <c r="F8" s="194"/>
      <c r="G8" s="209" t="s">
        <v>161</v>
      </c>
      <c r="H8" s="208">
        <f>'Prob-Impact Matrix'!C8</f>
        <v>0.4</v>
      </c>
      <c r="I8" s="205"/>
      <c r="K8" s="200" t="s">
        <v>200</v>
      </c>
    </row>
    <row r="9" spans="1:13" x14ac:dyDescent="0.25">
      <c r="A9" s="200" t="s">
        <v>201</v>
      </c>
      <c r="C9" s="201"/>
      <c r="D9" s="197"/>
      <c r="E9" s="202" t="s">
        <v>202</v>
      </c>
      <c r="F9" s="194"/>
      <c r="G9" s="212" t="s">
        <v>125</v>
      </c>
      <c r="H9" s="213">
        <f>'Prob-Impact Matrix'!C9</f>
        <v>0.8</v>
      </c>
      <c r="K9" s="200" t="s">
        <v>203</v>
      </c>
      <c r="M9" s="199" t="s">
        <v>85</v>
      </c>
    </row>
    <row r="10" spans="1:13" x14ac:dyDescent="0.25">
      <c r="A10" s="211" t="s">
        <v>204</v>
      </c>
      <c r="C10" s="201"/>
      <c r="D10" s="197"/>
      <c r="E10" s="202" t="s">
        <v>205</v>
      </c>
      <c r="F10" s="194"/>
      <c r="G10" s="194"/>
      <c r="K10" s="214" t="s">
        <v>206</v>
      </c>
      <c r="M10" s="206" t="s">
        <v>130</v>
      </c>
    </row>
    <row r="11" spans="1:13" x14ac:dyDescent="0.25">
      <c r="C11" s="201"/>
      <c r="D11" s="197"/>
      <c r="E11" s="201"/>
      <c r="F11" s="194"/>
      <c r="G11" s="4" t="s">
        <v>184</v>
      </c>
      <c r="I11" s="6"/>
      <c r="K11" s="211"/>
      <c r="M11" s="206" t="s">
        <v>207</v>
      </c>
    </row>
    <row r="12" spans="1:13" x14ac:dyDescent="0.25">
      <c r="C12" s="215"/>
      <c r="D12" s="197"/>
      <c r="E12" s="201"/>
      <c r="F12" s="194"/>
      <c r="G12" s="203" t="s">
        <v>208</v>
      </c>
      <c r="H12" s="204"/>
      <c r="I12" s="6"/>
      <c r="M12" s="206" t="s">
        <v>139</v>
      </c>
    </row>
    <row r="13" spans="1:13" x14ac:dyDescent="0.25">
      <c r="C13" s="194"/>
      <c r="D13" s="194"/>
      <c r="E13" s="215"/>
      <c r="F13" s="194"/>
      <c r="G13" s="216" t="s">
        <v>124</v>
      </c>
      <c r="H13" s="217">
        <f>'Prob-Impact Matrix'!C15</f>
        <v>0.1</v>
      </c>
      <c r="I13" s="6"/>
      <c r="M13" s="206" t="s">
        <v>209</v>
      </c>
    </row>
    <row r="14" spans="1:13" x14ac:dyDescent="0.25">
      <c r="C14" s="196" t="s">
        <v>48</v>
      </c>
      <c r="D14" s="194"/>
      <c r="E14" s="197"/>
      <c r="F14" s="194"/>
      <c r="G14" s="216" t="s">
        <v>172</v>
      </c>
      <c r="H14" s="217">
        <f>'Prob-Impact Matrix'!C16</f>
        <v>0.3</v>
      </c>
      <c r="I14" s="6"/>
      <c r="M14" s="206" t="s">
        <v>210</v>
      </c>
    </row>
    <row r="15" spans="1:13" x14ac:dyDescent="0.25">
      <c r="C15" s="200" t="s">
        <v>133</v>
      </c>
      <c r="D15" s="194"/>
      <c r="E15" s="197"/>
      <c r="F15" s="194"/>
      <c r="G15" s="216" t="s">
        <v>174</v>
      </c>
      <c r="H15" s="217">
        <f>'Prob-Impact Matrix'!C17</f>
        <v>0.5</v>
      </c>
      <c r="I15" s="6"/>
      <c r="M15" s="206" t="s">
        <v>211</v>
      </c>
    </row>
    <row r="16" spans="1:13" x14ac:dyDescent="0.25">
      <c r="C16" s="200" t="s">
        <v>117</v>
      </c>
      <c r="D16" s="194"/>
      <c r="E16" s="197"/>
      <c r="F16" s="194"/>
      <c r="G16" s="216" t="s">
        <v>176</v>
      </c>
      <c r="H16" s="217">
        <f>'Prob-Impact Matrix'!C18</f>
        <v>0.7</v>
      </c>
      <c r="I16" s="6"/>
      <c r="M16" s="210" t="s">
        <v>212</v>
      </c>
    </row>
    <row r="17" spans="3:14" x14ac:dyDescent="0.25">
      <c r="C17" s="211"/>
      <c r="D17" s="194"/>
      <c r="E17" s="197"/>
      <c r="F17" s="194"/>
      <c r="G17" s="218" t="s">
        <v>135</v>
      </c>
      <c r="H17" s="219">
        <f>'Prob-Impact Matrix'!C19</f>
        <v>0.9</v>
      </c>
      <c r="M17" s="211"/>
    </row>
    <row r="18" spans="3:14" x14ac:dyDescent="0.25">
      <c r="C18" s="194"/>
      <c r="D18" s="194"/>
      <c r="E18" s="197"/>
      <c r="F18" s="194"/>
      <c r="G18" s="220"/>
      <c r="H18" s="221"/>
      <c r="M18" s="194"/>
    </row>
    <row r="19" spans="3:14" x14ac:dyDescent="0.25">
      <c r="C19" s="194"/>
      <c r="D19" s="194"/>
      <c r="E19" s="197"/>
      <c r="F19" s="194"/>
      <c r="G19" s="220"/>
      <c r="H19" s="221"/>
      <c r="M19" s="194"/>
    </row>
    <row r="20" spans="3:14" x14ac:dyDescent="0.25">
      <c r="C20" s="194"/>
      <c r="D20" s="194"/>
      <c r="E20" s="197"/>
      <c r="F20" s="194"/>
      <c r="G20" s="222" t="s">
        <v>213</v>
      </c>
      <c r="M20" s="223" t="s">
        <v>8</v>
      </c>
    </row>
    <row r="21" spans="3:14" x14ac:dyDescent="0.25">
      <c r="C21" s="194"/>
      <c r="D21" s="194"/>
      <c r="E21" s="197"/>
      <c r="F21" s="194"/>
      <c r="G21" s="224" t="s">
        <v>214</v>
      </c>
      <c r="H21" s="225"/>
      <c r="I21" s="226"/>
      <c r="M21" s="103" t="s">
        <v>215</v>
      </c>
    </row>
    <row r="22" spans="3:14" x14ac:dyDescent="0.25">
      <c r="C22" s="194"/>
      <c r="D22" s="194"/>
      <c r="E22" s="197"/>
      <c r="F22" s="194"/>
      <c r="G22" s="227" t="s">
        <v>216</v>
      </c>
      <c r="H22" s="228"/>
      <c r="I22" s="229">
        <v>0.05</v>
      </c>
      <c r="M22" s="25" t="s">
        <v>217</v>
      </c>
      <c r="N22" s="230"/>
    </row>
    <row r="23" spans="3:14" x14ac:dyDescent="0.25">
      <c r="C23" s="194"/>
      <c r="E23" s="194"/>
      <c r="G23" s="231" t="s">
        <v>218</v>
      </c>
      <c r="H23" s="232"/>
      <c r="I23" s="229">
        <v>0.06</v>
      </c>
      <c r="M23" s="25" t="s">
        <v>219</v>
      </c>
      <c r="N23" s="233"/>
    </row>
    <row r="24" spans="3:14" x14ac:dyDescent="0.25">
      <c r="E24" s="194"/>
      <c r="G24" s="231" t="s">
        <v>220</v>
      </c>
      <c r="H24" s="232"/>
      <c r="I24" s="229">
        <v>0.14000000000000001</v>
      </c>
      <c r="M24" s="25" t="s">
        <v>221</v>
      </c>
      <c r="N24" s="234"/>
    </row>
    <row r="25" spans="3:14" x14ac:dyDescent="0.25">
      <c r="E25" s="194"/>
      <c r="G25" s="235" t="s">
        <v>222</v>
      </c>
      <c r="H25" s="236"/>
      <c r="I25" s="229">
        <v>0.15</v>
      </c>
      <c r="M25" s="25" t="s">
        <v>223</v>
      </c>
      <c r="N25" s="25"/>
    </row>
    <row r="26" spans="3:14" x14ac:dyDescent="0.25">
      <c r="E26" s="194"/>
      <c r="G26" s="25" t="s">
        <v>224</v>
      </c>
      <c r="H26" s="25"/>
      <c r="I26" s="237">
        <v>0</v>
      </c>
    </row>
    <row r="27" spans="3:14" x14ac:dyDescent="0.25">
      <c r="E27" s="194"/>
    </row>
    <row r="28" spans="3:14" x14ac:dyDescent="0.25">
      <c r="E28" s="194"/>
      <c r="G28" s="238" t="s">
        <v>225</v>
      </c>
    </row>
    <row r="29" spans="3:14" x14ac:dyDescent="0.25">
      <c r="E29" s="194"/>
      <c r="G29" s="200" t="s">
        <v>137</v>
      </c>
    </row>
    <row r="30" spans="3:14" x14ac:dyDescent="0.25">
      <c r="E30" s="194"/>
      <c r="G30" s="200" t="s">
        <v>126</v>
      </c>
    </row>
    <row r="31" spans="3:14" x14ac:dyDescent="0.25">
      <c r="E31" s="194"/>
      <c r="G31" s="211"/>
    </row>
    <row r="32" spans="3:14" x14ac:dyDescent="0.25">
      <c r="E32" s="194"/>
    </row>
    <row r="33" spans="5:5" x14ac:dyDescent="0.25">
      <c r="E33" s="194"/>
    </row>
    <row r="34" spans="5:5" x14ac:dyDescent="0.25">
      <c r="E34" s="194"/>
    </row>
    <row r="35" spans="5:5" x14ac:dyDescent="0.25">
      <c r="E35" s="194"/>
    </row>
    <row r="36" spans="5:5" x14ac:dyDescent="0.25">
      <c r="E36" s="194"/>
    </row>
  </sheetData>
  <pageMargins left="0.7" right="0.7" top="0.75" bottom="0.75" header="0.3" footer="0.3"/>
  <pageSetup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Summary</vt:lpstr>
      <vt:lpstr>Legend</vt:lpstr>
      <vt:lpstr>Risk Register Tool</vt:lpstr>
      <vt:lpstr>Prob-Impact Matrix</vt:lpstr>
      <vt:lpstr>Source Data Tables</vt:lpstr>
      <vt:lpstr>Legend!Print_Area</vt:lpstr>
      <vt:lpstr>'Risk Register Tool'!Print_Area</vt:lpstr>
      <vt:lpstr>'Risk Register Tool'!Print_Titles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Wilcutt</dc:creator>
  <cp:lastModifiedBy>Bryan Willcutt</cp:lastModifiedBy>
  <dcterms:created xsi:type="dcterms:W3CDTF">2019-07-01T14:25:50Z</dcterms:created>
  <dcterms:modified xsi:type="dcterms:W3CDTF">2021-03-17T21:33:02Z</dcterms:modified>
</cp:coreProperties>
</file>